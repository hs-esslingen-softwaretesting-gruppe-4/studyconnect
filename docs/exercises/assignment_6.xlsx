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README"/>
    <sheet r:id="rId2" sheetId="2" name="MP"/>
    <sheet r:id="rId3" sheetId="3" name="LoF"/>
    <sheet r:id="rId4" sheetId="4" name="RR"/>
    <sheet r:id="rId5" sheetId="5" name="Maintenance"/>
  </sheets>
  <definedNames>
    <definedName name="_xlnm._FilterDatabase" localSheetId="2">LoF!$A$3:$J$65536</definedName>
    <definedName name="_xlnm._FilterDatabase" localSheetId="4">Maintenance!$A$2:$J$183</definedName>
    <definedName name="_xlnm.Print_Area" localSheetId="1">MP!$A$1:$C$41</definedName>
    <definedName name="_xlnm.Print_Area" localSheetId="0">README!$A$1:$D$69</definedName>
    <definedName name="_xlnm.Print_Area" localSheetId="3">RR!$A$1:$B$26</definedName>
    <definedName name="Document_abbreviations">MP!$C$10:$C$16</definedName>
    <definedName name="Optimum_Checking_Time">MP!$B$37</definedName>
    <definedName name="Reviewer_abbreviations">MP!$C$21:$C$28</definedName>
    <definedName name="Size_of_Review_Object">MP!$B$35</definedName>
    <definedName name="Size_Unit">MP!$C$35</definedName>
  </definedNames>
  <calcPr fullCalcOnLoad="1"/>
</workbook>
</file>

<file path=xl/sharedStrings.xml><?xml version="1.0" encoding="utf-8"?>
<sst xmlns="http://schemas.openxmlformats.org/spreadsheetml/2006/main" count="1699" uniqueCount="804">
  <si>
    <t>Issue List for Maintenance / further Development of this Template</t>
  </si>
  <si>
    <t>No.</t>
  </si>
  <si>
    <t>Review Object</t>
  </si>
  <si>
    <t>Location of Finding</t>
  </si>
  <si>
    <t>Finding Description</t>
  </si>
  <si>
    <t>Checklist / Scenario Id.</t>
  </si>
  <si>
    <t>Input from</t>
  </si>
  <si>
    <t>Seve-&amp;#10;rity</t>
  </si>
  <si>
    <t>Comment</t>
  </si>
  <si>
    <t>Status</t>
  </si>
  <si>
    <t>In Charge / Date / ...</t>
  </si>
  <si>
    <t>1</t>
  </si>
  <si>
    <t>LoF</t>
  </si>
  <si>
    <t>title line</t>
  </si>
  <si>
    <t xml:space="preserve">Autofilter geht nur mit zusammenhängendem Bereich. </t>
  </si>
  <si>
    <t>ros</t>
  </si>
  <si>
    <t>leider</t>
  </si>
  <si>
    <t>Rejected</t>
  </si>
  <si>
    <t>2</t>
  </si>
  <si>
    <t>Auswahlfeld für Reviewobject und "Input from" sieht etwas seltsam aus</t>
  </si>
  <si>
    <t>Mentioned in README, Restrictions &amp; Known Bugs</t>
  </si>
  <si>
    <t>Postponed</t>
  </si>
  <si>
    <t>3</t>
  </si>
  <si>
    <t>MP</t>
  </si>
  <si>
    <t>internationalere Reviewer-Namen</t>
  </si>
  <si>
    <t>4</t>
  </si>
  <si>
    <t>Logo verankern, damit es bei Spaltenverbreiterung am Platz bleibt</t>
  </si>
  <si>
    <t>Zu viel Aufwand</t>
  </si>
  <si>
    <t>5</t>
  </si>
  <si>
    <t>MP &amp; RP</t>
  </si>
  <si>
    <t>"Additional Remarks" Felder sind unpraktisch</t>
  </si>
  <si>
    <t>ROS 27.02.2013: Auf eine Zeile reduziert, die 4 Zeilen hoch ist. Nachteil in Kauf genommen, dass beim Anpassen der Höhe durch Doppelclick die Höhe auf eine Zeile zurückfällt.</t>
  </si>
  <si>
    <t>Solved</t>
  </si>
  <si>
    <t>6</t>
  </si>
  <si>
    <t>DS</t>
  </si>
  <si>
    <t>Feld "Time for Review Meeting (h)" kann auch weggelassen werden</t>
  </si>
  <si>
    <t>7</t>
  </si>
  <si>
    <t>DS etc.</t>
  </si>
  <si>
    <t>Felder mit Formeln, also Felder, die nicht ausgefüllt werden sollen, sind derzeit mit helltürkis gefüllt. Evtl. gibt es eine gestalterisch schönere Farbe.</t>
  </si>
  <si>
    <t>ausprobiert, es kommt nur hellgrün oder hellgelb in Frage, aber helltürkis kommt mir minimal besser vor. Vgl. aber No. 73</t>
  </si>
  <si>
    <t>8</t>
  </si>
  <si>
    <t>Zeilen "Kickoff", "Checking", "Review Meeting": Überschriften wie "Meeting Date/Time/Location" evtl. nicht in Spalte B, sondern in Spalte A eine Zeile drunter positionieren.</t>
  </si>
  <si>
    <t>ausprobiert, sieht schlechter aus.</t>
  </si>
  <si>
    <t>9</t>
  </si>
  <si>
    <t>prüfen, wie die helltürkisen Felder aussehen, wenn Template komplett leer ist (gibt es DIV0 oder so was).</t>
  </si>
  <si>
    <t>wenn alles leer ist steht überall 0. OK (ThMo)</t>
  </si>
  <si>
    <t>10</t>
  </si>
  <si>
    <t>Reworkfeld könnte man einsparen, weil es Feld C16 für Autor gibt</t>
  </si>
  <si>
    <t>11</t>
  </si>
  <si>
    <t>alle Blätter</t>
  </si>
  <si>
    <t>Einfügen-&gt;Namen: prüfen ob alles benötigt wird (je Blatt unterschiedlich). Ebenso dass keine überflüssigen Makros drin sind. Und wie die Druckansicht aussieht (Datei-&gt;Seitenansicht).</t>
  </si>
  <si>
    <t>zuletzt erl. 06.07.2012</t>
  </si>
  <si>
    <t>12</t>
  </si>
  <si>
    <t>Name Reviewer_Abbr nicht richtig definiert. Genauso Document_abbreviations</t>
  </si>
  <si>
    <t>13</t>
  </si>
  <si>
    <t>Spalte Input from: falsche Eingaben werden nicht angemotzt (was vielleicht ok ist, aber ich verstehe Gültigkeitsdefi. nicht ganz, bei Severity verhält es sich anders, weil Quelle keine Namensdefinition ist, sondern eine konkrete Aufzählung)</t>
  </si>
  <si>
    <t>Es ginge mit ""Leere Zellen ignorieren" nicht auswählen". Nichts tun, denn sonst wird "all" auch angemotzt</t>
  </si>
  <si>
    <t>14</t>
  </si>
  <si>
    <t>README</t>
  </si>
  <si>
    <t>erklären was blaue Felder bedeuten</t>
  </si>
  <si>
    <t>Dup. zu 116&amp;#10; Warten, ob überhaupt jemand damit auf die Schnauze fällt</t>
  </si>
  <si>
    <t>Duplicate</t>
  </si>
  <si>
    <t>15</t>
  </si>
  <si>
    <t xml:space="preserve">Simulieren, wie es über Beamer aussieht, bei LoF reicht 800*600 nicht. </t>
  </si>
  <si>
    <t>Workaround im wirklichen Leben ist: Zoom ändern oder Spalten D und G schmaler machen</t>
  </si>
  <si>
    <t>16</t>
  </si>
  <si>
    <t>DS, MP</t>
  </si>
  <si>
    <t>In Feldern wo ich Unit reinbaue, wird Zeilenhöhe nicht automatisch angepast</t>
  </si>
  <si>
    <t>Betrifft nur MP,  Opt. Check. Rate</t>
  </si>
  <si>
    <t>17</t>
  </si>
  <si>
    <t>B30&amp;31</t>
  </si>
  <si>
    <t>0 Dezimalstellen bei NLOC wäre schöner</t>
  </si>
  <si>
    <t>18</t>
  </si>
  <si>
    <t>Location evtl. linksbündig</t>
  </si>
  <si>
    <t>sieht schlechter aus</t>
  </si>
  <si>
    <t>19</t>
  </si>
  <si>
    <t>C32 u.a. helltürkise Felder</t>
  </si>
  <si>
    <t>evtl. Feld vor ungewollten Änderungen schützen. Gilt evtl. auch für andere Tabellenblätter.</t>
  </si>
  <si>
    <t>dup. zu No. 21</t>
  </si>
  <si>
    <t>20</t>
  </si>
  <si>
    <t>Exit ist keine separate Phase. Allgemein: die Beschreibung sollte im Prinzip identisch zur Website sein.</t>
  </si>
  <si>
    <t>ros, msc, rkn, awg</t>
  </si>
  <si>
    <t>28.06.2012 ROS</t>
  </si>
  <si>
    <t>21</t>
  </si>
  <si>
    <t>Zellenschutz verwenden vor allem für blaue Felder</t>
  </si>
  <si>
    <t>Hab&amp;apos;s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</si>
  <si>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22</t>
  </si>
  <si>
    <t>Spalte "Input from" wollen wir evtl. nicht.</t>
  </si>
  <si>
    <t>Da waren Datenschutzüberlegungen ein Grund. In der Praxis braucht man die Spalte aber.</t>
  </si>
  <si>
    <t>23</t>
  </si>
  <si>
    <t>Severity: "-" ist unsprechend, warum nicht gleich "Vorschlag" nennen?</t>
  </si>
  <si>
    <t>"Vorschlag" ist nur eine der Möglichkeiten unter "-". "-" ist zwar unsprechend, aber optisch sehr sprechend.</t>
  </si>
  <si>
    <t>24</t>
  </si>
  <si>
    <t>wir hatten zuletzt 2 Commentspalten vereinbart</t>
  </si>
  <si>
    <t>28.06.2012 ROS: stimmt, aber ich will die Breite des Blatts LoF nicht vergrößern, weil es so auf bestimmten Bildschirmen noch komplett draufpasst. In der Praxis reicht auch eine Spalte.</t>
  </si>
  <si>
    <t>25</t>
  </si>
  <si>
    <t>Status: wir hatten evtl. mehr Stati</t>
  </si>
  <si>
    <t>28.06.2012 ROS: ich mache erst was, wenn uns ein Status konkret abgeht.</t>
  </si>
  <si>
    <t>26</t>
  </si>
  <si>
    <t>Warum Logo nicht rechtsbündig?</t>
  </si>
  <si>
    <t>27</t>
  </si>
  <si>
    <t>Höhe von Zeile 3 evtl. verringern</t>
  </si>
  <si>
    <t>28.06.2012 ROS: geht nimmer wg. Feld "Checklist / Scenario Id."</t>
  </si>
  <si>
    <t>28</t>
  </si>
  <si>
    <t>Idee: Logo evtl. nur in Kopfzeile (Nachteil: nur bei Druck sichtbar)</t>
  </si>
  <si>
    <t>29</t>
  </si>
  <si>
    <t>RP</t>
  </si>
  <si>
    <t>B12</t>
  </si>
  <si>
    <t>Moderator auch aufführen</t>
  </si>
  <si>
    <t>30</t>
  </si>
  <si>
    <t>MSC sucht raus, welche Felder fehlen (z.B. Reference Documents, oder Kriterien gegen die geprüft wurde)</t>
  </si>
  <si>
    <t>erl. durch Diff_RC-v0.0_filled_zu_RC-MSC_v0.4_deutsch.xlsx</t>
  </si>
  <si>
    <t>31</t>
  </si>
  <si>
    <t>A13</t>
  </si>
  <si>
    <t>Refe. Doc. / Criteria</t>
  </si>
  <si>
    <t>28.06.2012 ROS: Nutzen ist mir zu klein gegenüber dem Umfangreicherwerdens des Templates.</t>
  </si>
  <si>
    <t>32</t>
  </si>
  <si>
    <t>RP klingt nach Rheinland Pfalz, warum nicht RR oder Rep?</t>
  </si>
  <si>
    <t>Solved incl. README D27</t>
  </si>
  <si>
    <t>33</t>
  </si>
  <si>
    <t>Z 6</t>
  </si>
  <si>
    <t>Spalten D ff sehen so aus, als ob es zu Reviewer 1 gehört (gestalterisch)</t>
  </si>
  <si>
    <t>Stimmt zwar, aber die Alternative (s. Review_Template_RC-MSC_v0.4_deutsch.xlsx) erschwert die optische Zuordnung der Felder zu der Titelzeile.&amp;#10;05.07.2012 ROS: doch noch solved, s. No. 54</t>
  </si>
  <si>
    <t>34</t>
  </si>
  <si>
    <t>G6</t>
  </si>
  <si>
    <t>Rework Time gehört nicht in die Reviewzeiten</t>
  </si>
  <si>
    <t>ros: bei Telko zu diskutieren, bin anderer Meinung. 28.06.12: meine mich zu erinnern, dass der Vorschlag keine Mehrheit fand, daher -&gt;rejected</t>
  </si>
  <si>
    <t>35</t>
  </si>
  <si>
    <t>B28</t>
  </si>
  <si>
    <t>Diese Total sind weniger als in LoF, weil Dup &amp; Rej fehlt, evtl. Zwischen-Totals ausweisen</t>
  </si>
  <si>
    <t>ROS 28.06.12: Wenn dann gleich aus Firma1 "Defect Summary by Status" übernehmen.&amp;#10;02.07.12 ROS:  table "Defect Summary by Status" added</t>
  </si>
  <si>
    <t>36</t>
  </si>
  <si>
    <t>RC-Website</t>
  </si>
  <si>
    <t>DS A34: warum Vortrag nicht auf RC-Homepage ablegen?</t>
  </si>
  <si>
    <t>Nur in Zusammenhang mit einer Homepage-Erweiterung miterledigen. ROS 03.07.2012</t>
  </si>
  <si>
    <t>37</t>
  </si>
  <si>
    <t>B35</t>
  </si>
  <si>
    <t>Kommentar: "neccess.." typo (2 mal)</t>
  </si>
  <si>
    <t>38</t>
  </si>
  <si>
    <t>C35</t>
  </si>
  <si>
    <t>Feldname wird in MP mit anderer Bedeutung verwendet</t>
  </si>
  <si>
    <t>ROS: Stimmt, im MP als Zeit pro Reviewer, im DS als Zeit für alle Reviewer. Mit fällt aber keine unverkrampfte Lösungsmöglichkeit ein und ich erwarte vom "User" keine Fehlinterpretation. (ROS)&amp;#10;ROS 09.03.2013: habe klarstellende Kommentare in beide Felder eingefügt.</t>
  </si>
  <si>
    <t>39</t>
  </si>
  <si>
    <t>Was soll ein halber Reviewer sein? Das ist mindestens nicht nachvollziehbar.</t>
  </si>
  <si>
    <t>Will ich im Template nicht erläutern, muss Bestandteil eines noch zu schreibenden Buches sein. (ROS)</t>
  </si>
  <si>
    <t>40</t>
  </si>
  <si>
    <t>F36, Z. 22-28</t>
  </si>
  <si>
    <t>Feld F36 kann automatisch berechnet werden und in Z 22-28 können die Mj in Reference Documents separat ausgewiesen werden.</t>
  </si>
  <si>
    <t>Stimmt zwar, aber der "Programmier"-Aufwand ist mir zu hoch. (ROS 28.06.12)</t>
  </si>
  <si>
    <t>41</t>
  </si>
  <si>
    <t>A37 (v0.2: A48, A54, E11)</t>
  </si>
  <si>
    <t>"per Unit" ersetzen durch Formel die z.B. "per NLOC" ausgibt</t>
  </si>
  <si>
    <t>Der Nutzen ist mir zu klein im Verhältnis zur Verkomplizierung der Wartung des Templates. (ROS 28.06.12)&amp;#10;msc/ros: ros soll erneut nachdenken.&amp;#10;ROS 02.07.2012: solved.&amp;#10;</t>
  </si>
  <si>
    <t>42</t>
  </si>
  <si>
    <t>MP, LoF</t>
  </si>
  <si>
    <t>Beschluss 06.06.12: Hilfsdokumente einbauen</t>
  </si>
  <si>
    <t>msc, ros</t>
  </si>
  <si>
    <t>43</t>
  </si>
  <si>
    <t>A31</t>
  </si>
  <si>
    <t>Beschluss 06.06.12: aus ROS-Zweig: "s" ergänzen</t>
  </si>
  <si>
    <t>44</t>
  </si>
  <si>
    <t>B6ff</t>
  </si>
  <si>
    <t>Beschluss 06.06.12: Diagonal wegnehmen</t>
  </si>
  <si>
    <t>45</t>
  </si>
  <si>
    <t>A21,B22</t>
  </si>
  <si>
    <t>Beschluss 06.06.12: aus ROS-Zweig, evtl. "numbers"</t>
  </si>
  <si>
    <t>46</t>
  </si>
  <si>
    <t>Beschluss 06.06.12: Hilfsrechner kommt rein, ohne Datum</t>
  </si>
  <si>
    <t>47</t>
  </si>
  <si>
    <t>RR</t>
  </si>
  <si>
    <t>B15 und andere türkise Felder</t>
  </si>
  <si>
    <r>
      <t/>
    </r>
    <r>
      <rPr>
        <sz val="10"/>
        <color theme="1"/>
        <rFont val="Arial"/>
        <family val="2"/>
      </rPr>
      <t xml:space="preserve">Wenn diese Felder im MP zweizeilig gefüllt werden, wird die Feldhöhe in </t>
    </r>
    <r>
      <rPr>
        <b/>
        <sz val="10"/>
        <color theme="1"/>
        <rFont val="Arial"/>
        <family val="2"/>
      </rPr>
      <t>RR</t>
    </r>
    <r>
      <rPr>
        <sz val="10"/>
        <color theme="1"/>
        <rFont val="Arial"/>
        <family val="2"/>
      </rPr>
      <t xml:space="preserve"> nicht automatisch erhöht. 28.06.2012</t>
    </r>
  </si>
  <si>
    <t>Mentioned in README, Restrictions &amp; Known Bugs&amp;#10;ROS: Makros wie in http://www.office-loesung.de/ftopic234187_0_0_asc.php vorgeschlagen will ich nicht einbauen, das bleibt ein "known bug". ROS 03.07.2012</t>
  </si>
  <si>
    <t>48</t>
  </si>
  <si>
    <t>Logo nicht gleich groß und gleich positioniert</t>
  </si>
  <si>
    <t>49</t>
  </si>
  <si>
    <t>Wie in Blatt Maintenance zu sehen, ist eine weitere Spalte ("Follow-Up nötig J/N" oder "Wiedervorlage für" oder ähnlich) dann nötig, wenn es ein mehrfaches Hin-und-her zwischen Rework und Follow-Up gibt (was im Review-Prozess nicht abgebildet ist)</t>
  </si>
  <si>
    <t>Will keine Spalte für seltene Fälle einbauen. ROS 03.07.2012&amp;#10;Aber vgl. No. 62</t>
  </si>
  <si>
    <t>50</t>
  </si>
  <si>
    <t>Tab. "Defect Summary by Status": Spalte Total evtl. als letzte Spalte</t>
  </si>
  <si>
    <t>51</t>
  </si>
  <si>
    <t>Coypright-Vermerk (bzw. anti-copyright notice) einbauen, wenn wir das Template breit streuen wollen. http://en.wikipedia.org/wiki/Copyleft</t>
  </si>
  <si>
    <t>Vgl.: Copyright © 2001 by Karl E. Wiegers. Permission is granted to use, modify, and distribute this document.&amp;#10;http://www.cs.toronto.edu/~sme/CSC444F/handouts/inspection_issue_log.pdf</t>
  </si>
  <si>
    <t>52</t>
  </si>
  <si>
    <t>C7</t>
  </si>
  <si>
    <t>"so that each reviewer can reasonable find defects" --&gt; " reasonably"</t>
  </si>
  <si>
    <t>53</t>
  </si>
  <si>
    <t>A48-E48, A54-E54</t>
  </si>
  <si>
    <t>gestalterisch evtl. noch nicht einheitlich zum Rest. Ebenso die fette Linie zwischen Zeilen 47/48, 53/54</t>
  </si>
  <si>
    <t>54</t>
  </si>
  <si>
    <t>D6-H6</t>
  </si>
  <si>
    <t>wg. gestalterisch nach Zeile 18 verschieben? Vgl. E66-H66</t>
  </si>
  <si>
    <t>dup. zu No. 33</t>
  </si>
  <si>
    <t>55</t>
  </si>
  <si>
    <t>B5/C5-B8/C8</t>
  </si>
  <si>
    <t>Zellen aufsplitten, damit falls gewünscht die Abbrev. für diese Personen leichter eingebaut werden kann</t>
  </si>
  <si>
    <t>für B3/C3-B8/C8 gemacht. ROS 04.07.2012</t>
  </si>
  <si>
    <t>56</t>
  </si>
  <si>
    <t>Temp. Maint. Notes sind noch in deutsch</t>
  </si>
  <si>
    <t>57</t>
  </si>
  <si>
    <t>In der "filled"-Datei sind die Findings alle auf deutsch</t>
  </si>
  <si>
    <t>Umgangen durch Kommentare in MP, A41-A42</t>
  </si>
  <si>
    <t>58</t>
  </si>
  <si>
    <t>In der "filled"-Datei sind die Findings aus einem Seminarübungsbeispiel von ROS. Wer die Findings liest und dann zeitnah das Seminar besucht, findet mehr Fehler als sonst zu erwarten wäre. Beachte auch Buchproblematik.</t>
  </si>
  <si>
    <t>(ehem.: Risiko wird in Kauf genommen)&amp;#10;Auch "Reflighting" ersetzen. Mindestens einige Mj verändern. Anzahl darf sich wg. DS nicht ändern.</t>
  </si>
  <si>
    <t>59</t>
  </si>
  <si>
    <t>Erwähnen, wo man die neueste Version des Templates downloaden kann?</t>
  </si>
  <si>
    <t>"Check www.reviewconsult.de for newer versions of this template" in Datei-&gt;Eigenschaften</t>
  </si>
  <si>
    <t>60</t>
  </si>
  <si>
    <t>Prüfen, welche verbundene Zellen man auflösen kann, denn verbundene Zellen haben gewisse Macken.</t>
  </si>
  <si>
    <t>zuletzt erl. 05.07.2012</t>
  </si>
  <si>
    <t>61</t>
  </si>
  <si>
    <t>Datei</t>
  </si>
  <si>
    <t>Dateinamen festlegen&amp;#10;&amp;#10;Review_Template_RC_de_v1.0.xlsx&amp;#10;Review_Template_RC_de_v1.0_filled.xlsx&amp;#10;Review_Template_RC_en_v1.0.xlsx&amp;#10;Review_Template_RC_en_v1.0_filled.xlsx&amp;#10;&amp;#10;Review_Template_RC_v1.0-de.xlsx&amp;#10;Review_Template_RC_v1.0-de_filled.xlsx&amp;#10;Review_Template_RC_v1.0-en.xlsx&amp;#10;Review_Template_RC_v1.0-en_filled.xlsx&amp;#10;&amp;#10;Review_Template_RC_v1.0.xlsx&amp;#10;Review_Template_RC_v1.0_filled.xlsx&amp;#10;Review_Vorlage_RC_v1.0.xlsx&amp;#10;Review_Vorlage_RC_v1.0_ausgefüllt.xlsx</t>
  </si>
  <si>
    <t>MSC, ROS: 1. Variante nehmen wir. Seiteneffekt auf History of Change v0.0 beachten.&amp;#10;ROS 20.07.2012 Solved</t>
  </si>
  <si>
    <t>62</t>
  </si>
  <si>
    <t>Status-Spalte</t>
  </si>
  <si>
    <t>Folgende in der Praxis sinnvolle Abweichung vom Standard-Reviewprozess wird derzeit nicht durch unser Template unterstützt:&amp;#10;Für den Fall, dass Autor vor der Sitzung die Findings liest und bewertet, brauchen wir weitere Stati wie Open_and_to_be_discussed oder Open_and_accepted. 08.07.2012&amp;#10;&amp;#10;Vgl. No. 49: "Wie in Blatt Maintenance zu sehen, ist eine weitere Spalte ("Follow-Up nötig J/N" oder "Wiedervorlage für" oder ähnlich) dann nötig, wenn es ein mehrfaches Hin-und-her zwischen Rework und Follow-Up gibt (was im Review-Prozess nicht abgebildet ist)"&amp;#10;&amp;#10;ROS-Vorschlag, wie es mit vorhandenen Stati geht:&amp;#10;Wenn der Autor vor dem Meeting die Findings bewertet, bedeutet:&amp;#10;- Open = Open and accepted, keine Diskussion nötig&amp;#10;- Solved = accepted und sogar schon solved, keine Diskussion nötig (Wie kennzeichnet man aber "solved und will im Meeting zeigen, wie"? Antwort: Status leer lassen und im Comment schreiben: Solved)&amp;#10;- Rejected: Diskussion ist sowieso sinnvoll&amp;#10;- leerer Status: Diskussion wie bei normalem Reviewprozess, kann im Meeting zu Open, Rejected etc. werden.&amp;#10;&amp;#10;Nachteil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</si>
  <si>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&amp;#10;ROS 20.07.2012: es läuft auf eine Zusatz-Spalte "In Charge" o.ä. raus. Neue Stati allein haben unschöne Seiteneffekte auf DS Zeilen 31 ff.&amp;#10;Solved: LoF new column "In Charge"&amp;#10;&amp;#10;MSC: ROS: evtl. Author/Reviewer weg und Follow-Up rein.&amp;#10;Solved 08.08.2012</t>
  </si>
  <si>
    <t>63</t>
  </si>
  <si>
    <t>Evtl. Zeile 6 bis 17 gruppieren?</t>
  </si>
  <si>
    <t>Macht DS etwas häßlicher und wird wohl kaum gebraucht.</t>
  </si>
  <si>
    <t>64</t>
  </si>
  <si>
    <t>G21</t>
  </si>
  <si>
    <t>Mehrzahl? Auch Kommentar in MP, A34</t>
  </si>
  <si>
    <t>65</t>
  </si>
  <si>
    <t>A24</t>
  </si>
  <si>
    <t>Copyright 2011-2012</t>
  </si>
  <si>
    <t>rkn</t>
  </si>
  <si>
    <t>66</t>
  </si>
  <si>
    <t>1.0 LoF</t>
  </si>
  <si>
    <t>H2</t>
  </si>
  <si>
    <t>Follow-Up verwendet die Spalten auch. Kommentar stimmt auch nicht ("after").</t>
  </si>
  <si>
    <t>67</t>
  </si>
  <si>
    <t>Zeile 103</t>
  </si>
  <si>
    <t>überlegen, ob Zeile unten einen gestrichelten Rahmen haben soll wie alle anderen Zeilen drüber</t>
  </si>
  <si>
    <t>68</t>
  </si>
  <si>
    <t>C3 Kommentar</t>
  </si>
  <si>
    <t>"4.1.2," -&gt; "4.1.2"</t>
  </si>
  <si>
    <t>69</t>
  </si>
  <si>
    <t>"If the finding occurs more than once in the review object (and it is too time-consuming to specify all locations), the wording "and others" can be used."&amp;#10;-&gt; besser weil kürzer evtl. "etc."</t>
  </si>
  <si>
    <t>70</t>
  </si>
  <si>
    <t>1.0 RR</t>
  </si>
  <si>
    <t>B14</t>
  </si>
  <si>
    <t>hat nicht denselben Text wie MP B20. Evtl. sollte hier und bei ähnlichen Feldern der Inhalt aus MP formelmässig übernommen werden.</t>
  </si>
  <si>
    <t>71</t>
  </si>
  <si>
    <t>1.0 DS</t>
  </si>
  <si>
    <t>Zeilen 23-27, 33-37</t>
  </si>
  <si>
    <t>Spalte I statt J muss abgefragt werden</t>
  </si>
  <si>
    <t>72</t>
  </si>
  <si>
    <t xml:space="preserve">Zeilen 47, 53 </t>
  </si>
  <si>
    <t>Effectiveness Estimations: Anzahl Majors found so setzen, dass bei "Total Majors before" ungefähr 21 herauskommt (konsistent zu B23)</t>
  </si>
  <si>
    <t>73</t>
  </si>
  <si>
    <t>1.0</t>
  </si>
  <si>
    <t>Farben sind schrecklich und behindern Verbreitung des Templates. Blau passt nicht zu grün, das grün ist zu kräftig.</t>
  </si>
  <si>
    <t>flj</t>
  </si>
  <si>
    <t>Mit Extras-&gt;Optionen-&gt;Farbe folgende Standardfarben geändert:&amp;#10;Gelbgrün nach 222, 235, 205 (Überschriftenfelder)&amp;#10;Dunkelgelb nach 201, 201, 201 (Feldrahmen)&amp;#10;Helltürkis nach 213, 245, 251 (berechnete Felder)</t>
  </si>
  <si>
    <t>74</t>
  </si>
  <si>
    <t>1.1</t>
  </si>
  <si>
    <t>Evtl. "Template Maintenance Notes" -&gt; "Restrictions, Known Bugs &amp; Template Maintenance Notes"&amp;#10;</t>
  </si>
  <si>
    <t>75</t>
  </si>
  <si>
    <t>Falls wir benutzerdefinierte Farben verwenden (ja: No. 73), muss diese Tatsache in "Template Maintenance Notes" dokumentiert werden</t>
  </si>
  <si>
    <t>76</t>
  </si>
  <si>
    <t>Evtl. Bereich einfügen mit "References &amp; Applicable Documents", dazu gehören z.B. Review-Datenbank, Reviewhandbuch, Qualitätssicherungshandbuch</t>
  </si>
  <si>
    <t>77</t>
  </si>
  <si>
    <t>1.2</t>
  </si>
  <si>
    <t>C11: "During the follow-up it will be checked whether all findings are solved as defined during the review meeting." will Reviewer geändert haben in:&amp;#10;"During the follow-up it will be checked whether all findings of the review meeting are solved as defined."&amp;#10;Anderer Reviewer will:&amp;#10;"During the follow-up it will be checked whether all findings of the review meeting are solved as defined."</t>
  </si>
  <si>
    <t>09.11.2012 ROS. MSC: "During the follow-up it will be checked whether all findings are solved as defined."</t>
  </si>
  <si>
    <t>78</t>
  </si>
  <si>
    <t>C20: "Abbreviations to be used in the List of Findings, " will Reviewer geändert haben in:&amp;#10;"Abbreviations are to be used in the List of Findings, "</t>
  </si>
  <si>
    <t>09.11.2012: MSC, ROS: rejected</t>
  </si>
  <si>
    <t>79</t>
  </si>
  <si>
    <t>C7: Reviewer will "In a kick-off meeting, the author provides as much background information as possible to the reviewers"</t>
  </si>
  <si>
    <r>
      <t/>
    </r>
    <r>
      <rPr>
        <sz val="10"/>
        <color theme="1"/>
        <rFont val="Arial"/>
        <family val="2"/>
      </rPr>
      <t>09.11.2012 MSC, ROS:&amp;#10;In a kick-off meeting</t>
    </r>
    <r>
      <rPr>
        <b/>
        <sz val="10"/>
        <color theme="1"/>
        <rFont val="Arial"/>
        <family val="2"/>
      </rPr>
      <t>,</t>
    </r>
    <r>
      <rPr>
        <sz val="10"/>
        <color theme="1"/>
        <rFont val="Arial"/>
        <family val="2"/>
      </rPr>
      <t xml:space="preserve"> the author provides </t>
    </r>
    <r>
      <rPr>
        <b/>
        <sz val="10"/>
        <color theme="1"/>
        <rFont val="Arial"/>
        <family val="2"/>
      </rPr>
      <t>enough</t>
    </r>
    <r>
      <rPr>
        <sz val="10"/>
        <color theme="1"/>
        <rFont val="Arial"/>
        <family val="2"/>
      </rPr>
      <t xml:space="preserve"> background information to the reviewers concerning review object and project environment so that each reviewer can reasonably find defects.</t>
    </r>
  </si>
  <si>
    <t>80</t>
  </si>
  <si>
    <t>C9, C11: Reviewer will "Follow-up" statt "follow-up".</t>
  </si>
  <si>
    <t>81</t>
  </si>
  <si>
    <t>MP etc.</t>
  </si>
  <si>
    <t>A3-A8 etc.: Einzug (nach links) vergrößern, sonst pappt Schrift am Rahmen.</t>
  </si>
  <si>
    <t>82</t>
  </si>
  <si>
    <t>Ruth Weiler: sie würde noch folgende Änderungen überlegen:&amp;#10;- DS: alle Total-Zahlen fett, die großen fetten Zahlen normal groß und rot.&amp;#10;- DS: D5 &amp; F5: "h" soll nicht einzeln stehen</t>
  </si>
  <si>
    <t>ROS 27.02.2013: rejected</t>
  </si>
  <si>
    <t>83</t>
  </si>
  <si>
    <t>O11 Format falsch</t>
  </si>
  <si>
    <t>84</t>
  </si>
  <si>
    <t>beim Drucken entsteht schwarzer Rahmen</t>
  </si>
  <si>
    <t>85</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</si>
  <si>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</si>
  <si>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</si>
  <si>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ROS 05.03.2013: in Abwägung von diesem kleinen Vorteil mit dem Bedarf, das neue Verfahren beschreiben und vermitteln zu müssen, mache ich lieber nichts.</t>
  </si>
  <si>
    <t>86</t>
  </si>
  <si>
    <t>Review_Template_RC_en_v1_2  sollte beim Öffnen das README Blatt zeigen.</t>
  </si>
  <si>
    <t>M.S. 16.10.12</t>
  </si>
  <si>
    <t>ros 17.10.2012: wäre bei öfterem Gebrauch von Reviews lästig.</t>
  </si>
  <si>
    <t>87</t>
  </si>
  <si>
    <t>Abkürzungen in den Blatt-Taben (MP, LoF, DS, RR) durch ausgeschriebene Bezeichnungen ersetzen</t>
  </si>
  <si>
    <t>ros 17.10.2012: war Absicht, bleibe dabei</t>
  </si>
  <si>
    <t>88</t>
  </si>
  <si>
    <t>Bei Stellen der Form „A/B“ gehört um den ‚/‘ kein Leerzeichen</t>
  </si>
  <si>
    <t>89</t>
  </si>
  <si>
    <t>Phase Planning, „make sure that the“ =&gt; “make sure the”</t>
  </si>
  <si>
    <t>ROS 05.03.2013: war von Englischkorrekturlesern nicht kritisiert worden.</t>
  </si>
  <si>
    <t>90</t>
  </si>
  <si>
    <t>“In a kick-off meeting the author” =&gt; “The author provides … during a kick-off meeting.”</t>
  </si>
  <si>
    <t>ROS 05.03.2013: ich belasse es.</t>
  </si>
  <si>
    <t>91</t>
  </si>
  <si>
    <t>“List of Findings” =&gt; “Findings” ist ausreichend&amp;#10;</t>
  </si>
  <si>
    <t>ros 17.10.2012: stimmt zwar, aber "historisch" eingebürgert</t>
  </si>
  <si>
    <t>92</t>
  </si>
  <si>
    <t>Maintenance</t>
  </si>
  <si>
    <t>alle Spalten wie bei LoF einführen, Format von LoF übernehmen.</t>
  </si>
  <si>
    <t>ros 17.10.2012</t>
  </si>
  <si>
    <t>93</t>
  </si>
  <si>
    <t>Mails</t>
  </si>
  <si>
    <t>Evtl. neues Blatt mit Muster-Mails einführen</t>
  </si>
  <si>
    <t>ROS 05.03.2013: mache ich aus Zeitgründen jetzt nicht.</t>
  </si>
  <si>
    <t>94</t>
  </si>
  <si>
    <t>In a kick-off meeting , .. 2 Kommas zuviel …occurrence.</t>
  </si>
  <si>
    <t>J.A. 15.10.12</t>
  </si>
  <si>
    <t>95</t>
  </si>
  <si>
    <t>E22 "Defects found per". (Unit fehlt)</t>
  </si>
  <si>
    <t>ros 17.10.2012: Sobald im MP die Unit angegeben ist, steht was Sinnvolles drin.</t>
  </si>
  <si>
    <t>96</t>
  </si>
  <si>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932b512)."&amp;#10;ROS: alle Kommentare scheinen gleichzeitig dargestellt zu werden, evtl. mit J.A. über Desktopsharing das Template ausprobieren.</t>
  </si>
  <si>
    <t>J.A. 17.10.12</t>
  </si>
  <si>
    <t>ROS 05.03.2013: ich mache hier nichts.</t>
  </si>
  <si>
    <t>97</t>
  </si>
  <si>
    <t>Erfahrungen mit LibreOffice 3.5.4 (Ubuntu 12.04 LTS):&amp;#10; * die Callouts sind im Weg  und müssen per "Tools/Options/Calc/View/Drawing objects = Hide" abgeschaltet werden</t>
  </si>
  <si>
    <t>J.H. 30.10.2012</t>
  </si>
  <si>
    <t>Snapshot s. Spalte L&amp;#10;ROS 05.03.2013: ich mache hier nichts.</t>
  </si>
  <si>
    <t>98</t>
  </si>
  <si>
    <t>B34 (Send Findings until ) könnte ein Auswahlfeld bekommen wie B32 und B39</t>
  </si>
  <si>
    <t>99</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</si>
  <si>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</si>
  <si>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ros 26.11.2012</t>
  </si>
  <si>
    <r>
      <t/>
    </r>
    <r>
      <rPr>
        <sz val="10"/>
        <color theme="1"/>
        <rFont val="Arial"/>
        <family val="2"/>
      </rPr>
      <t xml:space="preserve">ROS 06.03.2013: rejected, mir nicht wichtig genug. Im Buch steht übrigens: </t>
    </r>
    <r>
      <rPr>
        <sz val="8"/>
        <color theme="1"/>
        <rFont val="Arial"/>
        <family val="2"/>
      </rPr>
      <t>In vielen Firmen erhält der Projektleiter nach dem Review den Reviewbericht (»Review Report«) und der Qualitätsbeauftragte&amp;#10;erhält die Kennzahlen des Reviews (»Data Summary«).</t>
    </r>
  </si>
  <si>
    <t>100</t>
  </si>
  <si>
    <t>Spalte D (Find.Descr.) auf linksbündig (statt standard) setzen. "Problem" wirkt sich wohl nur ganz selten aus.</t>
  </si>
  <si>
    <t>ros 28.11.2012</t>
  </si>
  <si>
    <t>minor</t>
  </si>
  <si>
    <t>ROS 06.03.2013: solved</t>
  </si>
  <si>
    <t>101</t>
  </si>
  <si>
    <t>Spalte "In Charge" soll auch Eintrag "3rd hour" enthalten.</t>
  </si>
  <si>
    <t>ros 15.12.2012</t>
  </si>
  <si>
    <t>Dup. zu 111</t>
  </si>
  <si>
    <t>102</t>
  </si>
  <si>
    <t>U.a. in B10, B14, B15, B18 wird Zeilenhöhe nicht automatisch angepasst, wenn Text &gt; 1 Zeile. In B25 klappts.&amp;#10;&amp;#10;ROS 27.02.2013: versuche http://www.informatikserver.at/index.php/home/39/6440?format=pdf etc.</t>
  </si>
  <si>
    <t>ROS 28.02.2013: in MP alle Felder umgestellt außer bei den zusammengesetzten Feldern B32, B39, was ich nicht hinbekommen habe.</t>
  </si>
  <si>
    <t>103</t>
  </si>
  <si>
    <t>G66 und G71 mit nur 1 Nachkommastelle ist passender</t>
  </si>
  <si>
    <t>ros 28.12.2012</t>
  </si>
  <si>
    <t>ROS 27.02.2013: solved</t>
  </si>
  <si>
    <t>104</t>
  </si>
  <si>
    <t>MP&amp;LoF</t>
  </si>
  <si>
    <t>Wenn in MP C10 "31.12.12" eingetragen wird, dann steht nach dem Auswählen in LoF B4 nicht "31.12.12" drin.</t>
  </si>
  <si>
    <t>ros 31.12.2012</t>
  </si>
  <si>
    <t>ROS 05.03.2013: C10 ff. auf Format "Text" verändert.</t>
  </si>
  <si>
    <t>105</t>
  </si>
  <si>
    <t>It seems you don&amp;apos;t use &amp;apos;rules&amp;apos; in this example.</t>
  </si>
  <si>
    <t>n.m. 01.01.2013</t>
  </si>
  <si>
    <t>ROS 27.02.2013: richtig, wir sind hier also nicht Gilb-nah</t>
  </si>
  <si>
    <t>106</t>
  </si>
  <si>
    <t>I missed the number of majors remaining…</t>
  </si>
  <si>
    <t>ROS 27.02.2013: steht in DS, "Remain. Majors" in H46 und H52</t>
  </si>
  <si>
    <t>107</t>
  </si>
  <si>
    <t>Potential number of reviewers (10) seems to me too many for any Inspection, hence (if you agree) showing 10 lines may give a bad signal. A template is not just for use, but it also has an educational purpose.</t>
  </si>
  <si>
    <t>ROS 27.02.2013: schlechtes Signal ist richtig, aber in manchen Fällen sind mehr als 6 oder 7 nötig. Ich tendiere zum beibehalten.</t>
  </si>
  <si>
    <t>108</t>
  </si>
  <si>
    <t>Not clear what ‘Auxiliary Cells for Calculating Time Efforts’ means.</t>
  </si>
  <si>
    <t>Dup. zu 125</t>
  </si>
  <si>
    <t>109</t>
  </si>
  <si>
    <t>Seems I can overwrite cells that are getting their data from other cells (well, actually I can overwrite every cell). This way, I can inadvertently mess up elements of the spreadsheet.</t>
  </si>
  <si>
    <t>ROS 27.02.2013: Duplicate zu 21, dort rejected</t>
  </si>
  <si>
    <t>110</t>
  </si>
  <si>
    <r>
      <t/>
    </r>
    <r>
      <rPr>
        <sz val="10"/>
        <color theme="1"/>
        <rFont val="Arial"/>
        <family val="2"/>
      </rPr>
      <t xml:space="preserve">I miss root cause analysis. </t>
    </r>
    <r>
      <rPr>
        <sz val="8"/>
        <color theme="1"/>
        <rFont val="Arial"/>
        <family val="2"/>
      </rPr>
      <t>(What I ask from people is to add the &amp;apos;root cause analysis&amp;apos;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</si>
  <si>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ROS 27.02.2013: Argument richtig, derzeit keine Zeit das umzusetzen. Postponed</t>
  </si>
  <si>
    <t>111</t>
  </si>
  <si>
    <t>In Charge / Date könnte noch Einträge wie "3rd hour" oder "protocol" bekommen</t>
  </si>
  <si>
    <t>ros 10.01.2013</t>
  </si>
  <si>
    <t>Dup. zu 101&amp;#10;ROS 27.02.2013: solved</t>
  </si>
  <si>
    <t>112</t>
  </si>
  <si>
    <t>D52 "Duplicates C": im Kommentar erwähnen, dass auch einige open Mj zu den Duplicates im Sinne von C gehören (bei Seminar am 28./29.01.2013 falsch gemacht).</t>
  </si>
  <si>
    <t>ros 04.02.2013</t>
  </si>
  <si>
    <t>ROS 05.03.2013: "Caution: This is not necessarily the number of Major findings with status "duplicate"."</t>
  </si>
  <si>
    <t>113</t>
  </si>
  <si>
    <t>Zeilen 6 bis 15: für Seminar wäre praktisch, wenn die Inspektionsrate jedes Reviewers dargestellt werden würde.</t>
  </si>
  <si>
    <t>ros 05.02.2013</t>
  </si>
  <si>
    <t>ROS 09.03.2013: wird nicht für Version 1.3 gemacht</t>
  </si>
  <si>
    <t>Open</t>
  </si>
  <si>
    <t>114</t>
  </si>
  <si>
    <t>im Blatt ReadMe werden in der Beschreibung die einzelnen Blätter wie z.B. "List of Findings" in Langform genannt aber die Abkürzungen wie &amp;#10;"LoF" nicht erwähnt. Ich fände jeweils einen konkreten, vielleicht in Klammern, hilfreich.</t>
  </si>
  <si>
    <t>g.t. 07.02.2013</t>
  </si>
  <si>
    <t>ROS 27.02.2013: rejected, weil sonst die Texte länger werden. Der Nutzen ist mir zu gering.</t>
  </si>
  <si>
    <t>115</t>
  </si>
  <si>
    <t>Eine Begleitdoku zur Handhabung, in der a) das Gesamtkonzept der Verwendung kurz beschrieben wird und b) all die hilfreichen Kommentierungen der Tabellenfelder einmal aufgelistet sind.</t>
  </si>
  <si>
    <t>ROS 27.02.2013: a) leistet Buch. b) rejected</t>
  </si>
  <si>
    <t>116</t>
  </si>
  <si>
    <t>Einen Hinweis auf den verwendeten Farbcode in den Tabellen fände ich ebenfalls sinnvoll:&amp;#10;- weiß: hier Daten eintragen&amp;#10;- grün: Beschriftungen mit jeweils erklärenden Kommentierungen&amp;#10;- blau: berechnete Ergebnisse</t>
  </si>
  <si>
    <t>Dup. zu 14&amp;#10;ROS 09.03.2013: solved</t>
  </si>
  <si>
    <t>117</t>
  </si>
  <si>
    <t>LoF, DS</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</si>
  <si>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</si>
  <si>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RKN</t>
  </si>
  <si>
    <t>Major</t>
  </si>
  <si>
    <t>ROS 25.01.13: ernsthafter Einwand, aber Korrektur wird aufwendig. Jetziger Stand funktioniert, Vorschlag ist eine Verbesserung, keine "echter" Fehler.&amp;#10;ROS 20.02.2013: Nicht nur "solved" müsste aufgeteilt werden, auch "rejected" und "postponed" und theoretisch "duplicate". Halte jetzigen Stand daher für besser.</t>
  </si>
  <si>
    <t>118</t>
  </si>
  <si>
    <t>CD6 entspricht nicht dem aktuellen Stand des Buches (PraxiswissenReviews_Stand2013-02-17_09h.pdf) : In 3.1 , S.21 steht: Moderator, Unterstützung durch Autor und evt. Projektleiter.</t>
  </si>
  <si>
    <t>h.j. 27.02.13</t>
  </si>
  <si>
    <t>ROS 27.02.2013: nur das "evtl." ist der Unterschied. Ich mag kein "maybe" einfügen, lieber kurz bleiben.</t>
  </si>
  <si>
    <t>119</t>
  </si>
  <si>
    <t>CD9 "third hour meeting" verstehe ich, aber ist dies ein gebräuchlicher englischer Begriff? Nicht in Leo etc, aber  ca. 20.000 mal in Google.</t>
  </si>
  <si>
    <t>ROS 27.02.2013: Begriff in der Reviewtechnik geläufig, wird im Buch ausgeführt.</t>
  </si>
  <si>
    <t>120</t>
  </si>
  <si>
    <t>A34: "Send Findings until " --&gt; "Send Findings by"</t>
  </si>
  <si>
    <t>ROS 27.02.2013: unsere Englischprüfer haben "until" durchgehen lassen. Halte für dt. Leser "until" besser als "by".</t>
  </si>
  <si>
    <t>121</t>
  </si>
  <si>
    <t>C35/36: "NLOC" und "NLOC/h": sollten diese Abkürzungen im Template erklärt werden?</t>
  </si>
  <si>
    <t>ROS 27.02.2013: nur im Buch</t>
  </si>
  <si>
    <t>122</t>
  </si>
  <si>
    <t>Unsere Einladung  (s.u.) enthält die Spalten  H...J nicht</t>
  </si>
  <si>
    <t>ROS 27.02.2013: ok (kein Fehler bei uns, der behoben werden müsste)</t>
  </si>
  <si>
    <t>123</t>
  </si>
  <si>
    <t>Unser Report enthält noch weitere Spalten:&amp;#10;"Severity after Review". Vielleicht hat sich der Reviewer geirrt?</t>
  </si>
  <si>
    <t>ROS 27.02.2013: bei uns wird die Severity des Reviewers umgekippt, wollen keine extra Spalte spendieren.</t>
  </si>
  <si>
    <t>124</t>
  </si>
  <si>
    <t>Falls der Beitrag nicht im Rahmen des Reviews gelöst werden kann (z.B. Prozess),&amp;#10;  so gibt es noch eine Spalte, um die Nummer der Fehler im Fehler-Verfolgungssystems einzutragen.</t>
  </si>
  <si>
    <t>ROS 28.02.2013: deckt postponed ("monitored in another list") ab.</t>
  </si>
  <si>
    <t>125</t>
  </si>
  <si>
    <t>Die Tabelle ab J4 kann hilfreich sein, geht aber, soweit ich gesehen habe, nirgends in das Ergebnis ein (zumindest die Summe, O6 sehr wohl)</t>
  </si>
  <si>
    <t>Dup. zu 108</t>
  </si>
  <si>
    <t>126</t>
  </si>
  <si>
    <t>Es gibt 47 Rückmeldungen, Total (B29) nennt aber nur 43! Ursache ???</t>
  </si>
  <si>
    <t xml:space="preserve">ROS 27.02.2013: kein Fehler, siehe Kommentar B22 ("Duplicates and rejected findings not counted") </t>
  </si>
  <si>
    <t>127</t>
  </si>
  <si>
    <t>H61: Abkürzung "ROI" erklären ?</t>
  </si>
  <si>
    <t>128</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</si>
  <si>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</si>
  <si>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Befund berechtigt, aber wir wollten mit den Spalten knausern.</t>
  </si>
  <si>
    <t>129</t>
  </si>
  <si>
    <t>Abbrev. für Autor wird oft auch gebraucht, evtl. auch Abbrev. für Moderator. (Leider sieht es gestalterisch nicht gut aus, die Felder C7 und C8 wie die anderen Abbreviation-Felder zu rahmen)</t>
  </si>
  <si>
    <t>ros 28.02.2013</t>
  </si>
  <si>
    <t>130</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</si>
  <si>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</si>
  <si>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05.03.2013</t>
  </si>
  <si>
    <t>131</t>
  </si>
  <si>
    <t>In Template Maintenance Notes erwähnen, dass absichtlich keine Makros verwendet wurden.</t>
  </si>
  <si>
    <t>ros 09.03.2013</t>
  </si>
  <si>
    <t>132</t>
  </si>
  <si>
    <t>Kommentare werden beim Öffnen manchmal an unerwarteten Positionen gezeigt (je nachdem ob oberhalb Zeilen gruppiert wurden). Vermutlich kann es gelöst werden mit Kommentar formatieren-&gt;Eigenschaften.</t>
  </si>
  <si>
    <t>ROS 09.03.2013: solved for README, MP, LoF, DS, RR</t>
  </si>
  <si>
    <t>133</t>
  </si>
  <si>
    <t>Kommentare in LoF (Severity, Status, In Charge) werden (vermutlich wegen fixiertem Bildschirm) nicht komplett angezeigt, wenn man schon runtergescrollt hat.</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</si>
  <si>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</si>
  <si>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134</t>
  </si>
  <si>
    <t>1.3</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</si>
  <si>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</si>
  <si>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</si>
  <si>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135</t>
  </si>
  <si>
    <t>1.4</t>
  </si>
  <si>
    <t>In .._filled.xlsx den Kommentar zu Doubletten ändern: nicht "doppelt zu No. 34" und "doppelt zu No. 33" sondern "D2" und "D2". Das macht die Fischteichmethode leichter anwendbar.</t>
  </si>
  <si>
    <t>ros 01.11.2013</t>
  </si>
  <si>
    <t>136</t>
  </si>
  <si>
    <t xml:space="preserve">Feld ergänzen für: Zieldatum für "Follow-Up by"  oder Reinspektion </t>
  </si>
  <si>
    <t>SCL 26.03.2014</t>
  </si>
  <si>
    <t>137</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</si>
  <si>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</si>
  <si>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</si>
  <si>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138</t>
  </si>
  <si>
    <t>Beim Mergen der Daten (kopieren von Befunden eines anderen Reviewers in die Haupt-LoF-Liste) kommt eine Excelfehlermeldung ("Name "Reviewer_abbreviations" ist bereits vorhanden"). Besteht die Möglichkeit, diese zu unterdrücken?</t>
  </si>
  <si>
    <t>139</t>
  </si>
  <si>
    <t>A10 "planned publication date: autumn 2013"</t>
  </si>
  <si>
    <t>MSC 04.04.2014</t>
  </si>
  <si>
    <t>140</t>
  </si>
  <si>
    <t>1.4 de</t>
  </si>
  <si>
    <t>E.g. inspection or quality assurance handbook of company --&gt; Vor allem Qualitätsmanagement-Handbuch, Review-Leitlinien oder andere übergeordnete Dokumente des Unternehmens</t>
  </si>
  <si>
    <r>
      <t/>
    </r>
    <r>
      <rPr>
        <sz val="10"/>
        <color theme="1"/>
        <rFont val="Arial"/>
        <family val="2"/>
      </rPr>
      <t xml:space="preserve">Ab hier folgen alle freier übersetzten Stellen als Maintenance mit Status </t>
    </r>
    <r>
      <rPr>
        <i/>
        <sz val="10"/>
        <color theme="1"/>
        <rFont val="Arial"/>
        <family val="2"/>
      </rPr>
      <t>Solved</t>
    </r>
    <r>
      <rPr>
        <sz val="10"/>
        <color theme="1"/>
        <rFont val="Arial"/>
        <family val="2"/>
      </rPr>
      <t xml:space="preserve"> und In Charge / Date / … = </t>
    </r>
    <r>
      <rPr>
        <i/>
        <sz val="10"/>
        <color theme="1"/>
        <rFont val="Arial"/>
        <family val="2"/>
      </rPr>
      <t>changed, please check</t>
    </r>
  </si>
  <si>
    <t>changed, please check</t>
  </si>
  <si>
    <t>141</t>
  </si>
  <si>
    <t>Based on book "Software Inspection" (Gilb &amp; Graham, 1993)&amp;#10;German description of the generic review process and other parts of the template:&amp;#10;Book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</si>
  <si>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Ich finde, dass wir nicht mehr auf Gilb verweisen sollten - schließlich haben wir jetzt ein eigenes Buch.</t>
  </si>
  <si>
    <t>142</t>
  </si>
  <si>
    <t xml:space="preserve">Alle Phasen 1:1 von unserer Website genommen. Und jeweils mit einem Satz in Bezug auf das Template ergänzt (wo sonst keiner war). </t>
  </si>
  <si>
    <t>Besser nur ein Text, den wir warten müssen :-) Daher: auch auf unserer Website den zusätzlichen Satz ergänzen.</t>
  </si>
  <si>
    <t>143</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</si>
  <si>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</si>
  <si>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</si>
  <si>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144</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</si>
  <si>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</si>
  <si>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geändert&amp;#10;2) Statt einer Übersetzung: unter Common License stellen. </t>
  </si>
  <si>
    <t>145</t>
  </si>
  <si>
    <t>Some formulas in this template use names like "Size_of_Review_Object".&amp;#10;To find out in which cells these names are defined, please use menu Insert -&gt; Name -&gt; Define.&amp;#10;The name "Reviewer_abbreviations" is intentionally defined for the first eight reviewers only, sparing the users of the template the trouble of scrolling too much in the drop-down list in column "Input from" (sheet "LoF"). &amp;#10;--&gt; &amp;#10;Manche Formeln verwenden Namen wie "Size_of_Review_Object".&amp;#10;Mit Formeln - Namens-Manager kann man herausfinden, in welchen Feldern die  Namen definiert sind.&amp;#10;Der Name "Reviewer_abbreviations" ist absichtlich nur auf die ersten 8 Reviewer definiert, damit der Benutzer in Spalte "Input von" (in Blatt "LoF") in der Auswahlliste nicht ständig nach oben scrollen muss.</t>
  </si>
  <si>
    <t>np:       net pages. 1 np = 300 "non-commentary" words,&amp;#10;            1 np = 1 page of diagrams&amp;#10;pp:       print pages&amp;#10;NLOC:  non-commentary lines of code&amp;#10;LOC:    lines of code &amp;#10;--&gt;&amp;#10;np:       net pages / Nettoseiten.&amp;#10;            1 np = 300 "non-commentary" Wörter,&amp;#10;            1 np = 1 Seite mit Diagrammen&amp;#10;pp:       print pages / Gedruckte Seiten&amp;#10;NLOC:  non-commentary lines of code / Codezeilen ohne &amp;#10;           Kommentare&amp;#10;LOC:    lines of code / Codezeilen</t>
  </si>
  <si>
    <t>"non-commentary" evtl. einfach streichen? Auch in en?</t>
  </si>
  <si>
    <t>Drop down lists can be defined by menue Data -&gt; Validation (German: "Gültigkeit").&amp;#10;In tab „ error message“ it can be configured, whether only the values of the drop down list are allowed or as well different manual entries. "Ignore empty cells" might be deactivated.&amp;#10;--&gt;&amp;#10;Auswahlfelder werden so definiert:&amp;#10;Menü Daten -&gt; Gültigkeit&amp;#10;Im Reiter "Fehlermeldung" kann konfiguriert werden, ob nur die Werte aus der Auswahlliste oder auch abweichende manuelle Einträge erlaubt sind. "Leere Zellen ignorieren" muss dazu ggf. deaktiviert werden.</t>
  </si>
  <si>
    <r>
      <t/>
    </r>
    <r>
      <rPr>
        <sz val="10"/>
        <color theme="1"/>
        <rFont val="Arial"/>
        <family val="2"/>
      </rPr>
      <t xml:space="preserve">To set the color of cells depending on the cell content please use menue Format -&gt; Conditional Formatting. &amp;#10;--&gt;&amp;#10;Felder einfärben abhängig vom Inhalt mit </t>
    </r>
    <r>
      <rPr>
        <i/>
        <sz val="10"/>
        <color theme="1"/>
        <rFont val="Arial"/>
        <family val="2"/>
      </rPr>
      <t>Bedingte Formatierung</t>
    </r>
  </si>
  <si>
    <r>
      <t/>
    </r>
    <r>
      <rPr>
        <sz val="10"/>
        <color theme="1"/>
        <rFont val="Arial"/>
        <family val="2"/>
      </rPr>
      <t xml:space="preserve">Der Hinweis auf das Menü gilt nur für Excel 2003 - ist nun allgemeingültiger.&amp;#10;Vorschlag für en: To set the color of cells depending on the cell content please use menue Format -&gt; Conditional Formatting.&amp;#10;--&gt;&amp;#10;To set the color of cells depending on the cell content please use </t>
    </r>
    <r>
      <rPr>
        <i/>
        <sz val="10"/>
        <color theme="1"/>
        <rFont val="Arial"/>
        <family val="2"/>
      </rPr>
      <t>Conditional Formatting</t>
    </r>
    <r>
      <rPr>
        <sz val="10"/>
        <color theme="1"/>
        <rFont val="Arial"/>
        <family val="2"/>
      </rPr>
      <t xml:space="preserve">.&amp;#10;Kursivschreibung von Excel-Menüpunkten/-befehlen </t>
    </r>
  </si>
  <si>
    <t>Design decision (2011-12-13 P. Rösler):&amp;#10;The template does not use macros to make it easier for the users to understand the functioning of the template.&amp;#10;&amp;#10;Note: some of the "Restrictions &amp; Known Bugs" can only be cured by use of macros. &amp;#10;--&gt;&amp;#10;Designentscheidung (2011-12-13 P. Rösler):&amp;#10;Diese Vorlage nutzt keine Makros, um die Verständlichkeit für die Nutzer zu erleichtern.&amp;#10;&amp;#10;Hinweis: Einige der "Einschränkungen &amp; Bekannten Probleme" können nur über Makros gelöst werden.</t>
  </si>
  <si>
    <r>
      <t/>
    </r>
    <r>
      <rPr>
        <sz val="10"/>
        <color theme="1"/>
        <rFont val="Arial"/>
        <family val="2"/>
      </rPr>
      <t xml:space="preserve">To activate AutoFilter:&amp;#10;Please select the desired range of title cells  (e.g. "No." to "In  Charge" in sheet "LoF") and use menue Data -&gt; Filter -&gt; AutoFilter.&amp;#10;--&gt;&amp;#10;Automatische Filterung mit </t>
    </r>
    <r>
      <rPr>
        <i/>
        <sz val="10"/>
        <color theme="1"/>
        <rFont val="Arial"/>
        <family val="2"/>
      </rPr>
      <t>Daten - Filter</t>
    </r>
    <r>
      <rPr>
        <sz val="10"/>
        <color theme="1"/>
        <rFont val="Arial"/>
        <family val="2"/>
      </rPr>
      <t xml:space="preserve"> ein-/ausschalten</t>
    </r>
  </si>
  <si>
    <r>
      <t/>
    </r>
    <r>
      <rPr>
        <sz val="10"/>
        <color theme="1"/>
        <rFont val="Arial"/>
        <family val="2"/>
      </rPr>
      <t xml:space="preserve">Vorschlag für en: "To activate AutoFilter: menue </t>
    </r>
    <r>
      <rPr>
        <i/>
        <sz val="10"/>
        <color theme="1"/>
        <rFont val="Arial"/>
        <family val="2"/>
      </rPr>
      <t>Data -&gt; Filter</t>
    </r>
  </si>
  <si>
    <t>Please click on the "+" symbol to open the hidden line(s). &amp;#10;--&gt; &amp;#10;Bitte auf "+"-Symbol klicken, um die versteckten Zeilen zu sehen.</t>
  </si>
  <si>
    <t>152</t>
  </si>
  <si>
    <r>
      <t/>
    </r>
    <r>
      <rPr>
        <sz val="10"/>
        <color theme="1"/>
        <rFont val="Arial"/>
        <family val="2"/>
      </rPr>
      <t xml:space="preserve">The grey gridlines can be activated in a sheet by menue Tools (German: "Extras") -&gt; Options -&gt; View -&gt; Gridlines.&amp;#10;--&gt;&amp;#10;Graue Gitternetzlinien über </t>
    </r>
    <r>
      <rPr>
        <i/>
        <sz val="10"/>
        <color theme="1"/>
        <rFont val="Arial"/>
        <family val="2"/>
      </rPr>
      <t>Seitenlayout - Gitternetzlinien</t>
    </r>
    <r>
      <rPr>
        <sz val="10"/>
        <color theme="1"/>
        <rFont val="Arial"/>
        <family val="2"/>
      </rPr>
      <t xml:space="preserve"> ein-/ausschalten</t>
    </r>
  </si>
  <si>
    <r>
      <t/>
    </r>
    <r>
      <rPr>
        <sz val="10"/>
        <color theme="1"/>
        <rFont val="Arial"/>
        <family val="2"/>
      </rPr>
      <t xml:space="preserve">Vorschlag für en: "To activate grey gridlines use </t>
    </r>
    <r>
      <rPr>
        <i/>
        <sz val="10"/>
        <color theme="1"/>
        <rFont val="Arial"/>
        <family val="2"/>
      </rPr>
      <t>Pagelayout - Gridlines&amp;#10;</t>
    </r>
    <r>
      <rPr>
        <sz val="10"/>
        <color theme="1"/>
        <rFont val="Arial"/>
        <family val="2"/>
      </rPr>
      <t>(gleiche Grammatik mit "to activate" statt "can be activated" und allgemeiner bzgl. Excel-Version)</t>
    </r>
  </si>
  <si>
    <t>Maintenance notes for excel beginners&amp;#10;(Menue names from MS Excel 2003)&amp;#10;To read the comments in the cells, please point the mouse cursor at the cell, but avoid pointing at the picture in the cell. &amp;#10;--&gt;&amp;#10;Hinweise zur Wartung und zu Excel (Version 2010)&amp;#10;Um die Kommentare in den Zellen zu lesen, bitte möglichst nicht die Bilder anklicken, sondern nur den Mauscursor auf die Zelle bewegen.</t>
  </si>
  <si>
    <t>154</t>
  </si>
  <si>
    <r>
      <t/>
    </r>
    <r>
      <rPr>
        <sz val="10"/>
        <color theme="1"/>
        <rFont val="Arial"/>
        <family val="2"/>
      </rPr>
      <t xml:space="preserve">The hidden sheet "Maintenance" can be used to note and monitor planned template changes.&amp;#10;Please use menue Format -&gt; Sheet -&gt; Unhide to display this sheet.&amp;#10;--&gt;&amp;#10;Das versteckte Blatt "Maintenance" wird für die Planung und Dokumentation von Änderungen an der Vorlage verwendet.&amp;#10;Mit einem Klick auf einen Tabellenblatt-Namen und </t>
    </r>
    <r>
      <rPr>
        <i/>
        <sz val="10"/>
        <color theme="1"/>
        <rFont val="Arial"/>
        <family val="2"/>
      </rPr>
      <t>Einblenden...</t>
    </r>
    <r>
      <rPr>
        <sz val="10"/>
        <color theme="1"/>
        <rFont val="Arial"/>
        <family val="2"/>
      </rPr>
      <t xml:space="preserve"> kann es sichtbar gemacht werden.&amp;#10;</t>
    </r>
  </si>
  <si>
    <t>155</t>
  </si>
  <si>
    <t>3 of the excel standard colors were changed in this template by menue Tools (German: "Extras") -&gt; Options -&gt; Color:&amp;#10;&amp;#10;Dark Yellow (German: "Dunkelgelb") to 201, 201, 201 (used for cell borders)&amp;#10;Lime ("Gelbgrün")                              to 222, 235, 205 (used for title cells)&amp;#10;Light Turqoise ("Helltürkis")               to 213, 245, 251 (used for calculated cells)&amp;#10; --&gt;&amp;#10;3 Standardfarben von Excel wurden wie folgt geändert:&amp;#10;Dunkelgelb auf 201, 201, 201 (für Zellenränder)&amp;#10;Gelbgrün   auf 222, 235, 205 (für Zellentitel)&amp;#10;Helltürkis   auf 213, 245, 251 (für berechnete Zellen)</t>
  </si>
  <si>
    <t>156</t>
  </si>
  <si>
    <t>Bei den Kennzahlen F5-H5 müsste die Einheit eigentlich Ph (Personenstunden) und nicht h (Stunden) lauten.</t>
  </si>
  <si>
    <t>t.b. discussed</t>
  </si>
  <si>
    <t>157</t>
  </si>
  <si>
    <t>Usually not filled by moderator, will be filled by quality manager when the Data Summary is imported into the review database.&amp;#10;--&gt;&amp;#10;Normalerweise nicht durch den Moderator auszufüllen,sondern meist durch den Qualitätsmanager, wenn die Datenzusammenfassung in die Reviewdatenbank importiert wurde.</t>
  </si>
  <si>
    <t>158</t>
  </si>
  <si>
    <t>Insert more lines if necessary --&gt; Falls nötig, weitere Zeilen einfügen</t>
  </si>
  <si>
    <t>159</t>
  </si>
  <si>
    <t>Reference Documents are the documents, to which the Review Objects have to be consistent.&amp;#10;&amp;#10;Insert more lines if necessary &amp;#10;--&gt; &amp;#10;Referenzdokumente sind die Dokumente zu denen das Reviewobjekt konsistent sein muss&amp;#10;&amp;#10;Falls nötig, weitere Zeilen einfügen</t>
  </si>
  <si>
    <t>160</t>
  </si>
  <si>
    <t>Checklists and scenarios are auxiliary documents, which help the reviewers find more defects.&amp;#10;&amp;#10;Insert more lines if necessary &amp;#10;--&gt; &amp;#10;Checklisten und Szenarien sind Hilfsdokumente, die den Reviewern helfen, mehr Befunde zu entdecken.&amp;#10;&amp;#10;Falls nötig, weitere Zeilen einfügen</t>
  </si>
  <si>
    <t>161</t>
  </si>
  <si>
    <t>Abbreviations to reduce the typing effort in the List of Findings&amp;#10;--&gt;&amp;#10;Abkürzungen reduzieren den Tipp-Aufwand in der Befundliste (LoF)</t>
  </si>
  <si>
    <t>162</t>
  </si>
  <si>
    <t>Abbreviations to be used in the List of Findings, column "Input from"&amp;#10;&amp;#10;The abbreviations need not to be identical to the phone directory.&amp;#10;--&gt;&amp;#10;Namenskürzel werden in der Befundliste (LoF) in der Spalte "Input von" genutzt.&amp;#10;&amp;#10;Es können - müssen aber nicht - die Kürzel aus z.B. dem Telefonverzeichnis genutzt werden.</t>
  </si>
  <si>
    <t>Vorschlag für en: &amp;#10;"Signatures are used in the List of Findings, column "Input from"&amp;#10;&amp;#10;The may, but needn&amp;apos;t, be taken from e.g. the phone directory.&amp;#10;"&amp;#10;Außerdem: Zelle mit Sig beschriften.</t>
  </si>
  <si>
    <t>163</t>
  </si>
  <si>
    <t>Number of pages or lines to be reviewed (this may differ from the overall size of the review objects)&amp;#10;--&gt;&amp;#10;Anzahl der Seiten oder Zeilen, die gereviewt werden (kann von der Größe des gesamten Reviewobjektes abweichen).</t>
  </si>
  <si>
    <t>"</t>
  </si>
  <si>
    <t>164</t>
  </si>
  <si>
    <t>The optimum checking rate indicates how may pages or lines a typical reviewer can check in an hour.&amp;#10;Benchmark data for code: 100-150 NLOC / h&amp;#10;Benchmark data for text documents:&amp;#10;- 1 to max. 2 np/h (Gilb &amp; Graham 1993)&amp;#10;- 2 to 3 pp/h for architecture and requirement documents (IEEE Std 1028-2008)&amp;#10;(These data are counterintuitive, engineers would rather guess 5 to 10 pages per hour.)&amp;#10;--&gt;&amp;#10;Die optimale Prüfrate indiziert, wie viele Seiten oder Codezeilen ein typischer Prüfer in einer Stunde prüfen kann.&amp;#10;Bezugsgröße für Code: 100-150 NLOC / h&amp;#10;Bezugsgröße für Textdokumente&amp;#10;- 1 bis max. 2 np/h (Gilb &amp; Graham 1993)&amp;#10;- 2 bis 3 pp/h für Architektur- und Anforderungsdokumente (IEEE Std 1028-2008)&amp;#10;(Diese Daten sind nicht eingängig, Entwickler würden 5- bis 10 Seiten pro Stunden annehmen.)</t>
  </si>
  <si>
    <t>165</t>
  </si>
  <si>
    <t>Optimum checking time for a typical reviewer&amp;#10;--&gt;&amp;#10;Optimale Prüfzeit für einen typischen Reviewer</t>
  </si>
  <si>
    <t>166</t>
  </si>
  <si>
    <t>This has to be filled out by the reviewers during the individual checking&amp;#10;--&gt;&amp;#10;Wird von den Reviewern während der Individuellen Vorbereitung ausgefüllt.</t>
  </si>
  <si>
    <t>Vorschlag für en: "&amp;#10;This will be filled out by the reviewers during the individual checking"&amp;#10;(has to be) ist vielleicht zu "streng".</t>
  </si>
  <si>
    <t>167</t>
  </si>
  <si>
    <t>This has to be filled out during the review meeting, rework and follow-up.&amp;#10;--&gt;&amp;#10;Wird während der Reviewsitzung, der Überarbeitung und dem Follow-up ausgefüllt.</t>
  </si>
  <si>
    <t>168</t>
  </si>
  <si>
    <t>Please use the abbreviations for the review objects.&amp;#10;--&gt;&amp;#10;Bitte die Abkürzungen für Reviewojekte nutzen.</t>
  </si>
  <si>
    <t>169</t>
  </si>
  <si>
    <t>The moderator may determine, how the location of a finding has to be specified.&amp;#10;E.g. 023-026 if the finding refers to lines 23 to 26; p41 for page 41; 4.1.2 for chapter 4.1.2 &amp;#10;&amp;#10;If the finding occurs more than once in the review object (and it is too time-consuming to specify all locations), the wording "etc." or "ff." can be used.&amp;#10;E.g. 023 etc.&amp;#10;--&gt;&amp;#10;Der Moderatur kann vorgeben, wie ein Fundort spezifiziert werden kann.&amp;#10;Z.B.: 023-026 wenn der Befund sich auf die Zeilen 23 to 26 bezieht; p41 für Seite 41; 4.1.2 für Kapitel 4.1.2, &amp;#10;Tritt der Befund mehr als einmal im Prüfobjekt auf (und es ist zu zeitaufwändig den Fundort zu spezifizieren), können die Begriffe "und andere" benutzt werden. Bsp.: 023 und andere.&amp;#10;</t>
  </si>
  <si>
    <t>170</t>
  </si>
  <si>
    <t>If the finding was discovered via a checklist question or a scenario, please fill in the identification of this checklist question or scenario. &amp;#10;--&gt;&amp;#10;Wurde der Befund durch die Verwendung einer Checkliste oder eines Szenarios entdeckt, bitte die Referenz auf die Checklistenfrage oder auf das Szenario angeben.</t>
  </si>
  <si>
    <t>171</t>
  </si>
  <si>
    <t>Please use the abbreviations for the reviewer names.&amp;#10;&amp;#10;If the finding was discovered in the review meeting, please enter "all".&amp;#10;--&gt;&amp;#10;Bitte das Namenskürzel des Reviewers angeben (siehe MasterPlan).&amp;#10;Ist der Befund während der Reviewsitzung entdeckt worden, bitte "alle" eintragen.</t>
  </si>
  <si>
    <t>Vorschlag für en: "&amp;#10;Please use the signatures for the reviewer names (see MasterPlan).&amp;#10;&amp;#10;If the finding was discovered in the review meeting, please enter "all".&amp;#10;"</t>
  </si>
  <si>
    <t>172</t>
  </si>
  <si>
    <t>Major:   Defect, which possibly causes substantially higher costs, if it is found later in the development process.&amp;#10;minor:   Defect, which is not classified as a Major.&amp;#10;?:          Question or the reviewer is very unsure whether the finding is a defect or a false alarm.&amp;#10;note:    Reviewer note which needs no author action.&amp;#10;-:          Used if Major, minor, ? and note are not appropriate (e.g. process improvement)&amp;#10;--&gt;&amp;#10;Major:  Fehler, der möglicherweise substantiell höhere Kosten verursacht, sofern er später im Entwicklungsprozess gefunden wird           &amp;#10;minor:   Fehler, der nicht als "Major" klassifiziert ist.&amp;#10;?:         Frage des Prüfers. (Unsicher ob Befund ein Fehler oder ein Fehlalarm ist)         &amp;#10;note:    Anmerkung des Prüfers, die keine Aktion des Autors zur Folge hat&amp;#10;-:         Nutzen, wenn Major, minor, ? and note nicht zutreffen z.B. Prozessverbesserung</t>
  </si>
  <si>
    <t>173</t>
  </si>
  <si>
    <t>Meeting Comment / Action Item / Author Note (Resolution / Reason for Rejection, etc.)&amp;#10;Field only filled if necessary&amp;#10;--&gt;&amp;#10;Kommentar aus Reviewsitzung / To Do / Anmerkung des Autors (Lösungsweg / Begründung für Zurückweisung / etc.)&amp;#10;Feld wird nur gefüllt, falls nötig</t>
  </si>
  <si>
    <t>174</t>
  </si>
  <si>
    <t>Open:          The finding is valid and the author will deal with it in rework.&amp;#10;Solved:        The finding was solved (or no action was necessary).&amp;#10;Rejected:    The finding is rejected (false alarm).&amp;#10;Postponed:  The finding is valid but is postponed (and monitored in another list).&amp;#10;Duplicate:    The finding is the same as another finding. (This other finding is not marked as "Duplicate".)&amp;#10;&amp;#10;Note: exit criterion for rework: no "open" findings&amp;#10;--&gt;&amp;#10;Offen:         Der Befund ist valide und der Autor wird ihn in der Überarbeitung behandeln&amp;#10;Behoben:        Der Befund ist behoben oder es war keine Aktion nötig.&amp;#10;Abgelehnt: Der Befund wird vom Autor zurückgewiesen (Fehlalarm).&amp;#10;Zurückgestellt:  Der Befund ist gültig aber zurückgestellt (und wird über eine andere Liste verfolgt).&amp;#10;Duplikat:   Bereits in der Liste enthaltener Befund. (Dieser andere Befund wird nicht mit "Duplikat" gekennzeichnet.)        &amp;#10;&amp;#10;Hinweis: Ausgangskriterien für Nacharbeit: keine Befunde mit Status "offen"</t>
  </si>
  <si>
    <t>175</t>
  </si>
  <si>
    <t>Column for free use (please adjust the column for your special needs). Examples for use cases:&amp;#10;- In preparation for the review meeting, the author can mark those findings with "Meeting", for which he/she needs a clarification or discussion. &amp;#10;- In Follow-Up a reviewer can mark a finding with "t.b. re-discussed", if he/she does not agree with the author&amp;apos;s solution.&amp;#10;--&gt;&amp;#10;Spalte zur freien Benutzung (bitte passen Sie diese an Ihre Bedürfnisse an). Beispiel für Anwendungsfälle:&amp;#10;- In der Vorbereitung der Reviewsitzung kann der Autor die Befunde mit "Meeting" markieren, für die er eine Erläuterung benötigt oder die er diskutieren will.&amp;#10;- Im Follow-up kann ein Reviewer Befunde mit "Erneut diskutieren" markieren, wenn er nicht mit der Lösung des Autors einverstanden ist.</t>
  </si>
  <si>
    <t>176</t>
  </si>
  <si>
    <r>
      <t/>
    </r>
    <r>
      <rPr>
        <sz val="10"/>
        <color theme="1"/>
        <rFont val="Arial"/>
        <family val="2"/>
      </rPr>
      <t xml:space="preserve">Effort for Individual Checking&amp;#10;&amp;#10;Will be provided by the reviewers after individual checking. Accuracy +-10% is good enough.&amp;#10;&amp;#10;The privacy policy of your company may require, that individual checking times are not electronically stored and processed. In this case you as a moderator could gather the individual checking times orally and enter the sum of the checking times (in the "Total" line) manually.&amp;#10;--&gt;&amp;#10;Aufwand für Individuelle Vorbereitung&amp;#10;&amp;#10;Wird von den Reviewern nach der Individuellen Vorbereitung zur Verfügung gestellt. Eine Genauigkeit von </t>
    </r>
    <r>
      <rPr>
        <sz val="10"/>
        <color theme="1"/>
        <rFont val="Calibri"/>
        <family val="2"/>
        <scheme val="minor"/>
      </rPr>
      <t>±</t>
    </r>
    <r>
      <rPr>
        <sz val="10"/>
        <color theme="1"/>
        <rFont val="Arial"/>
        <family val="2"/>
      </rPr>
      <t>10% ist ausreichend.&amp;#10;&amp;#10;Die Datenschutzrichtlinien Ihres Unternehmens verbieten eventuell die elektronische Erfassung und Speicherung persönlicher Zeiten. In diesem Fall kann der Moderator die Zeiten mündlich erfragen und als Summe (in der Zeile "Summe") eintragen.</t>
    </r>
  </si>
  <si>
    <t>Vorschlag für en: "&amp;#10;&amp;#10;Will be provided by the reviewers after individual checking. Accuracy ±10% is sufficient.&amp;#10;"</t>
  </si>
  <si>
    <t>177</t>
  </si>
  <si>
    <t>Effort for Planning / Kickoff / Follow-Up / etc.&amp;#10;&amp;#10;Will be provided by the participants.&amp;#10;&amp;#10;Not included are times for the Review Meeting, checking times and the author&amp;apos;s rework time.&amp;#10;--&gt;&amp;#10;Aufwand für Planung / Kick-off / Follow-up / usw.&amp;#10;&amp;#10;Wird von den Teilnehmenden zur Verfügung gestellt.&amp;#10;&amp;#10;Nicht enthalten sind die Zeiten für Reviewsitzung, Individuelle Vorbereitung und Überarbeitungen durch den Autor.</t>
  </si>
  <si>
    <t>178</t>
  </si>
  <si>
    <t>Actual duration of review meeting&amp;#10;--&gt;&amp;#10;Tatsächliche Dauer der Reviewsitzung</t>
  </si>
  <si>
    <t>179</t>
  </si>
  <si>
    <t>No. of review meeting participants&amp;#10;--&gt;&amp;#10;Anzahl der Teilnehmer der Reviewsitzung</t>
  </si>
  <si>
    <t>180</t>
  </si>
  <si>
    <t>How many hours did the author spend on correcting the findings.&amp;#10;&amp;#10;If you don&amp;apos;t want to wait until author&amp;apos;s rework is done, please enter an estimated value.&amp;#10;--&gt;&amp;#10;Aufwand der Überarbeitung durch den Aufwand&amp;#10;&amp;#10;Wenn Sie nicht warten wollen, bis die Befunde korrigiert sind, tragen Sie einen Schätzwert ein.&amp;#10;</t>
  </si>
  <si>
    <t>Vorschlag für en: "&amp;#10;Effort for author&amp;apos;s rework.&amp;#10;&amp;#10;If you don&amp;apos;t want to wait until the author corrected the findings, please enter an estimated value.&amp;#10;"&amp;#10;Grund: einheitliche Form / Grammatik in allen Kommentaren</t>
  </si>
  <si>
    <t>181</t>
  </si>
  <si>
    <t>These cells do not effect other cells in the template. Calculated results have to be transferred manually.&amp;#10;&amp;#10;Typical use case for these cells:&amp;#10;A reviewer fills in the start and end time for checking and possible break times. The effort in hours (in decimal format) can now be entered into the "Checking Times" in column B.&amp;#10;--&gt;&amp;#10;Diese Zellen haben keine Auswirkungen auf die anderen Zellen der Vorlagen. Errechnete Ergebnisse müssen von Hand übertragen werden.&amp;#10;&amp;#10;Typische Nutzung für diese Zellen:&amp;#10;Ein Reviewer füllt Start- und Endezeit für die Individuelle Vorbereitung aus und gegebenenfalls Pausenzeiten. Der Aufwand in Stunden (im Dezimalformat) kann nun in die Spalte "Lesezeiten (h)" (Spalte B) übertragen werden.</t>
  </si>
  <si>
    <t>182</t>
  </si>
  <si>
    <t>Format hh:mm&amp;#10;Shortcut Strg+Shift+"."&amp;#10;--&gt;&amp;#10;Format hh:mm&amp;#10;Tastenkürzel Strg+Shift+"."&amp;#10;(Kommentar bei von und bei bis)</t>
  </si>
  <si>
    <t>183</t>
  </si>
  <si>
    <t>No. of participants&amp;#10;--&gt;&amp;#10;Anzahl Teilnehmer</t>
  </si>
  <si>
    <t>184</t>
  </si>
  <si>
    <t>Duplicates and rejected findings not counted&amp;#10;--&gt;&amp;#10;Duplikate und Abgelehnte Befunde nicht mitgezählt</t>
  </si>
  <si>
    <t>185</t>
  </si>
  <si>
    <t>see Master Plan&amp;#10;--&gt;&amp;#10;siehe Masterplan</t>
  </si>
  <si>
    <t>186</t>
  </si>
  <si>
    <t>Benchmark data: 1 Major / h&amp;#10;("Software Inspection" 1993, p315, MEL inspection data)&amp;#10;--&gt;&amp;#10;Benchmark Daten: 1 Major / h&amp;#10;("Software Inspection" 1993, p315, MEL inspection data)</t>
  </si>
  <si>
    <t>187</t>
  </si>
  <si>
    <t>Duplicates and rejected findings included&amp;#10;--&gt;&amp;#10;Duplikate und Abgelehnte Befund wurden mitgezählt</t>
  </si>
  <si>
    <t>188</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</si>
  <si>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German)&amp;#10;--&gt;&amp;#10;Eine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</si>
  <si>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Auch unsere gemeinsamen Vorträge sollten auf der ReviewConsult-Seite abgelegt werden. Auch ich habe den Vortrag auf meiner Website und fände es besser, wir verweisen auf unsere gemeinsame und nicht auf eine persönliche.</t>
  </si>
  <si>
    <t>189</t>
  </si>
  <si>
    <t xml:space="preserve">Rule of thumb for achievable effectiveness: 50%. About 50% of the Major defects in the document will be found by the review team, if the optimum inspection rate is obeyed.&amp;#10;The rule of thumb can be fine tuned, if you consider the maturity level of your review process or of your development process.&amp;#10;Fagan,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cases.”&amp;#10;www.gilb.com (Forum, as of 23.09.2005), Topic “Insp., Qual. Control”, Thread “Completeness of candidate doc.”, Posting Kai Gilb 17.09.2004: “We have found Inspection to operate in the area of about 3% (the normal for inspections not optimized with optimal checking rates etc.) to about 88%.”&amp;#10;--&gt;&amp;#10;Pi-mal-Daumen Regel für erreichbare Effektivität: 50%. Etwa 50% der Major klassifizierten Befunde im Dokument werden durch das Reviewteam gefunden, falls die optimale Leserate berücksichtigt wird.&amp;#10;Diese Pi-mal-Daumen Regel kann justiert werden, wenn Sie den Reifegrad Ihres Reviewprozesses oder Ihres Entwicklungsprozesses berücksichtigen.&amp;#10;Fagan,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cases.”&amp;#10;www.gilb.com (Forum, as of 23.09.2005), Topic “Insp., Qual. Control”, Thread “Completeness of candidate doc.”, Posting Kai Gilb 17.09.2004: “We have found Inspection to operate in the area of about 3% (the normal for inspections not optimized with optimal checking rates etc.) to about 88%.” </t>
  </si>
  <si>
    <t>190</t>
  </si>
  <si>
    <t>Necessary number of full reviewers to achieve the Achievable Effectiveness. &amp;#10;Full reviewer: reviewer who has the knowledge to check all parts of the review object.&amp;#10;&amp;#10;Rule of thumb: Necessary number of full reviewers = 2.5 to 3 (estimation by P.Rösler, 2011)&amp;#10;Benchmark data: A company reported that for code reviews 4 or more reviewers did only find negligible more defects than 3 reviewers.&amp;#10;--&gt;&amp;#10;Notwendige Anzahl an "Vollreviewern", um die "Erreichbare Effektivität" zu erlangen.&amp;#10;"Vollreviewer": Reviewer, die das Wissen haben, um alle Teile des Reviewobjekts zu prüfen.&amp;#10;&amp;#10;Pi-mal-Daumen Regel: Notwendige Anzahl an "Vollreviewern" = 2,5 bis 3 (Schätzung durch P. Rösler, 2011)&amp;#10;Benchmark Daten: Ein Unternehmen berichtete für Codereviews, dass 4 oder mehr Reviewer im Vergleich zu 3 Reviewern nur noch eine vernachlässigbare Anzahl Befunde zusätzlich gefunden haben.</t>
  </si>
  <si>
    <t>191</t>
  </si>
  <si>
    <t>Optimum checking time (total for all reviewers)&amp;#10;--&gt;&amp;#10;Optimale Lesezeit (Summe für alle Reviewer)</t>
  </si>
  <si>
    <t>192</t>
  </si>
  <si>
    <t>Actual checking time (total for all reviewers)&amp;#10;--&gt;&amp;#10;Tatsächliche Lesezeit (Summe für alle Reviewer)</t>
  </si>
  <si>
    <t>193</t>
  </si>
  <si>
    <t>Effectiveness Definition:&amp;#10;Effectiveness = Major defects found / all existing Major defects&amp;#10;&amp;#10;Effectiveness Estimation (P. Rösler, 2011):&amp;#10;Effectiveness = Achievable Effectiveness *&amp;#10;Optimum Checking Time / Actual  Checking Time&amp;#10;--&gt;&amp;#10;Definition der Effektivität&amp;#10;Effektivität = gefundene Major / alle vorhandenen Major&amp;#10;&amp;#10;Schätzung der Effektivitiät (P. Rösler, 2011):&amp;#10;Effektivität = Erreichbare Effektivität * Optimale Lesezeit / Tatsächliche Lesezeit&amp;#10;</t>
  </si>
  <si>
    <t>194</t>
  </si>
  <si>
    <t xml:space="preserve">Number of Major defects found in the review object (don&amp;apos;t count Major defects in the reference documents).&amp;#10;&amp;#10;Caution: too many Majors found in the meeting (provided by "all") will destort the estimate.&amp;#10;--&gt;&amp;#10;Anzahl der Major im Reviewobjekt (nicht die Majors in Referenzdokumenten zählen)&amp;#10;&amp;#10;Achtung: zu viele Majors, die in der Reviewsitzung gefunden wurden (Input von "alle") machen die Schätzung ungültig. </t>
  </si>
  <si>
    <r>
      <t/>
    </r>
    <r>
      <rPr>
        <sz val="10"/>
        <color theme="1"/>
        <rFont val="Arial"/>
        <family val="2"/>
      </rPr>
      <t xml:space="preserve">Number of Major defects found in the review object (don&amp;apos;t count Major defects in the reference documents).&amp;#10;&amp;#10;Caution: too many Majors found in the meeting (provided by "all") will </t>
    </r>
    <r>
      <rPr>
        <sz val="10"/>
        <color rgb="FFff0000"/>
        <rFont val="Arial"/>
        <family val="2"/>
      </rPr>
      <t>distort</t>
    </r>
    <r>
      <rPr>
        <sz val="10"/>
        <color theme="1"/>
        <rFont val="Arial"/>
        <family val="2"/>
      </rPr>
      <t xml:space="preserve"> the estimate.</t>
    </r>
  </si>
  <si>
    <t>195</t>
  </si>
  <si>
    <t xml:space="preserve">Estimated number of Major defects before review = Majors found / Effectiveness&amp;#10;&amp;#10;Benchmark data ("Software Inspection" 1993, p385, MEL inspection data):&amp;#10;"Default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&amp;#10;--&gt;&amp;#10;Geschätzte Zahl an Major vor dem Review = Gefundene Majors found / Effectiveness&amp;#10;&amp;#10;Benchmark Daten ("Software Inspection" 1993, p385, MEL inspection data):&amp;#10;"Default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</si>
  <si>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196</t>
  </si>
  <si>
    <t>Remaining Major defects after rework (assuming that all corrections done by author are correct)&amp;#10;--&gt;&amp;#10;Noch im Dokument enthaltene Majors nach Überarbeitung durch den Autor (unter der Annahme, dass alle Korrekturen richtig durchgeführt wurden)</t>
  </si>
  <si>
    <t>197</t>
  </si>
  <si>
    <t>so called "remaining Major defect density"&amp;#10;--&gt;&amp;#10;sogenannte "Rest-Fehlerdichte der Majors"</t>
  </si>
  <si>
    <t>Fehlerdichte ist ein häufig genutzter Ausdruck, aber "Rest-Fehlerdichte der Majors" klingt komisch. Besserer Vorschlag?</t>
  </si>
  <si>
    <t>198</t>
  </si>
  <si>
    <t>For a description of the method see book "Reviews in der System- und Softwareentwicklung – Grundlagen, Praxis, kontinuierliche Verbesserung" (in German) or www.reviewtechnik.de/SW-QS-Tag-2010_Stichproben-Reviews_Roesler_Schlich_v1.5_pub.ppt, slides 47-50 (in German)&amp;#10;--&gt; &amp;#10;Eine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</si>
  <si>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199</t>
  </si>
  <si>
    <t>A = Number of Majors (including duplicates) found by reviewer A&amp;#10;in the review object (don&amp;apos;t count Major defects in the reference documents).&amp;#10;&amp;#10;Reviewer A is the reviewer, who found the most Majors.&amp;#10;--&gt;&amp;#10;A = Anzahl Majors (inklusive Duplikate), die Reviewer A im Reviewobjekt gefunden hat (Majors in den Referenzdokumenten nicht mitzählen).&amp;#10;&amp;#10;Reviewer A ist der Reviewer, der die meisten Majors gefunden hat.</t>
  </si>
  <si>
    <t>200</t>
  </si>
  <si>
    <t>B = Number of Majors found by reviewer B&amp;#10;&amp;#10;The other reviewers constitue "reviewer B". Duplicates within this group are not counted, only duplicates to reviewer A.&amp;#10;--&gt;&amp;#10;B = Anzahl Majors, die Reviewer B gefunden hat.&amp;#10;&amp;#10;Alle anderen Reviewer zusammen bilden "Reviewer B". Duplikate innerhalb der Gruppe werden nicht gezählt, Duplikate zum Reviewer A werden gezählt.</t>
  </si>
  <si>
    <t>201</t>
  </si>
  <si>
    <t>C = Number of Majors, which were found by both reviewers.&amp;#10;&amp;#10;Caution: This is not necessarily the number of Major findings with status "duplicate".&amp;#10;--&gt;&amp;#10;C = Anzahl Majors, die von Reviewer A und B gefunden wurden.&amp;#10;&amp;#10;Achtung: Dies ist nicht automatisch die Anzahl Majors mit Status "Duplikat".</t>
  </si>
  <si>
    <t>202</t>
  </si>
  <si>
    <t>Caution: if the number of duplicates (C) is low (e.g. 1,2,3), then the result is very arguable.&amp;#10;&amp;#10;Caution: Majors found in the meeting (provided by "all") will destort the estimate. The real effectiveness will be higher in this case.&amp;#10;--&gt;&amp;#10;Achtung: wenn die Anzahl der Duplikate (C) sehr gering ist (z.B. 1, 2, 3) , dann ist das Ergebnis angreifbar.&amp;#10;&amp;#10;Achtung: Majors, die in der Reviewsitzung gefunden wurden (Input von "alle") verfälschen die Schätzung. Die tatsächliche Effektivität wäre in diesem Fall höher.</t>
  </si>
  <si>
    <t>203</t>
  </si>
  <si>
    <t>Number of Majors found: F = A + B - C&amp;#10;&amp;#10;This number does not include the Majors, which were found in the review meeting (provided by "all").&amp;#10;--&gt;&amp;#10;Anzahl Majors gefunden: F = A + B - C&amp;#10;&amp;#10;Diese Zahl enthält nicht die die Majors, die während der Reviewsitzung gefunden wurden (Input von "alle").</t>
  </si>
  <si>
    <t>204</t>
  </si>
  <si>
    <t>Estimated number of all Majors in review object: T = A * B / C&amp;#10;--&gt;&amp;#10;Geschätzte Zahl der gesamten Majors im Reviewobjekt: T = A * B / C</t>
  </si>
  <si>
    <t>205</t>
  </si>
  <si>
    <t>Experts estimate for the worst 1, 2 or 3 found Major defects, how much time it would have cost to find and fix each of them later in the project. The other Major defects are estimated across-the-board.&amp;#10;--&gt;&amp;#10;Experten schätzen für die schlimmsten 1, 2 oder 3 gefundenen Majors ab, wie viel Zeit notwendig gewesen wäre, diese Befunde später im Projekt zu entdecken und zu beheben. Alle anderen Majors werden zusammengefasst abgeschätzt.</t>
  </si>
  <si>
    <t>206</t>
  </si>
  <si>
    <t>No. of the examined Major defect in the "List of Findings"&amp;#10;--&gt;&amp;#10;Anzahl der analysierten Majors in der Befundliste (LoF)</t>
  </si>
  <si>
    <t>207</t>
  </si>
  <si>
    <t>Mean value for find&amp;fix a Major later&amp;#10;&amp;#10;Admittedly this is the difficult part of the estimation as long as there are no historical data of projects in the company (e.g. in a defect tracking tool) .&amp;#10;&amp;#10;Benchmark data ("Software Inspection" 1993, p315, MEL inspection data):&amp;#10;9.3 work-hours&amp;#10;&amp;#10;Benchmark data from another company (source: P. Rösler 2011):&amp;#10;Default statistic value for every defect not found is &amp;#10; - if the review is done in the Requirements phase:               50 h.&amp;#10; - if the review is done in the Analysis &amp; Planning phase:      30 h.&amp;#10; - if the review is done in the Implementation phase:               8 h.&amp;#10; - if the review is done in the System Test phase:                   2 h.&amp;#10;--&gt;&amp;#10;Mittelwert für spätere Entdeckung und Behebung eines Majors&amp;#10;&amp;#10;Dies ist zugegebenermaßen der schwierigste Teil der Abschätzung, solange es keine historischen Daten der Projekte im Unternehmen gibt (v.a. aus einem Fehlermanagementtool).&amp;#10;&amp;#10;Benchmark Daten ("Software Inspection" 1993, p315, MEL inspection data):&amp;#10;9.3 work-hours&amp;#10;&amp;#10;Benchmark data from another company (source: P. Rösler 2011):&amp;#10;Default statistic value for every defect not found is &amp;#10; - if the review is done in the Requirements phase:               50 h.&amp;#10; - if the review is done in the Analysis &amp; Planning phase:      30 h.&amp;#10; - if the review is done in the Implementation phase:               8 h.&amp;#10; - if the review is done in the System Test phase:                   2 h.</t>
  </si>
  <si>
    <t>Vorschlag für en: Leerzeichen vor 8h eingefügt (rechtsbündig formatiert also).&amp;#10;Kommt 2x vor</t>
  </si>
  <si>
    <t>208</t>
  </si>
  <si>
    <t>Expert who provided the estimation and/or any comments concerning the estimation&amp;#10;--&gt;&amp;#10;Experte, der die Schätzung und/oder Kommentare zur Schätzung liefert</t>
  </si>
  <si>
    <t>kommt 2x vor</t>
  </si>
  <si>
    <t>209</t>
  </si>
  <si>
    <t>Return on Investment&amp;#10;&amp;#10;If greater 0, then the review saved project effort.&amp;#10;--&gt;&amp;#10;Return on Investment&amp;#10;&amp;#10;Falls größer 0, dann hat das Review Aufwand eingespart.</t>
  </si>
  <si>
    <t>210</t>
  </si>
  <si>
    <t>Insert more lines if necessary&amp;#10;--&gt;&amp;#10;Falls nötig, weitere Zeilen einfügen</t>
  </si>
  <si>
    <t>211</t>
  </si>
  <si>
    <t>Please select (or enter name of specialist who performs Follow-Up)&amp;#10;--&gt;&amp;#10;Bitte wählen (oder Namen eines Spezialisten angeben, der das Follow-up durchführt.</t>
  </si>
  <si>
    <t>212</t>
  </si>
  <si>
    <t>Statt Zusätzliche Anmerkungen: "Zusätzliche Anmerkungen oder Auflagen zur Freigabe"</t>
  </si>
  <si>
    <t>auch in en</t>
  </si>
  <si>
    <t>213</t>
  </si>
  <si>
    <t>Dateieigenschaften</t>
  </si>
  <si>
    <t>Liste der Autoren auf Peter, Maud, Ralf geändert</t>
  </si>
  <si>
    <t>auch in en machen</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</si>
  <si>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</si>
  <si>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</si>
  <si>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</si>
  <si>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</si>
  <si>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</si>
  <si>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</si>
  <si>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</si>
  <si>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</si>
  <si>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</si>
  <si>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</si>
  <si>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</si>
  <si>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</si>
  <si>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</si>
  <si>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</si>
  <si>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</si>
  <si>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</si>
  <si>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</si>
  <si>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</si>
  <si>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</si>
  <si>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</si>
  <si>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</si>
  <si>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</si>
  <si>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</si>
  <si>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</si>
  <si>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</si>
  <si>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</si>
  <si>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</si>
  <si>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</si>
  <si>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</si>
  <si>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</si>
  <si>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</si>
  <si>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Reviewbericht</t>
  </si>
  <si>
    <t>Berichtsdatum</t>
  </si>
  <si>
    <t>Projekt</t>
  </si>
  <si>
    <t>Moderator</t>
  </si>
  <si>
    <t>Reviewobjekte</t>
  </si>
  <si>
    <t>1.</t>
  </si>
  <si>
    <t>2.</t>
  </si>
  <si>
    <t>3.</t>
  </si>
  <si>
    <t>Reviewentscheidung</t>
  </si>
  <si>
    <t>durch</t>
  </si>
  <si>
    <t>Follow-up der Überarbeitung durch</t>
  </si>
  <si>
    <t>Re-Inspektion notwendig</t>
  </si>
  <si>
    <t>Reviewer</t>
  </si>
  <si>
    <t>Namen (und zum Review zugewiesene Kapitel / Checklisten oder Szenarien)</t>
  </si>
  <si>
    <t>4.</t>
  </si>
  <si>
    <t>5.</t>
  </si>
  <si>
    <t>6.</t>
  </si>
  <si>
    <t>7.</t>
  </si>
  <si>
    <t>8.</t>
  </si>
  <si>
    <t>9.</t>
  </si>
  <si>
    <t>10.</t>
  </si>
  <si>
    <t>Zusätzliche Anmerkungen</t>
  </si>
  <si>
    <t>Befundliste (List of Findings)</t>
  </si>
  <si>
    <t xml:space="preserve">Individuelle Vorbereitung </t>
  </si>
  <si>
    <t>Reviewsitzung, Überarbeitung und Follow-up</t>
  </si>
  <si>
    <t>Nr.</t>
  </si>
  <si>
    <t>Review-objekt</t>
  </si>
  <si>
    <t>Fundort</t>
  </si>
  <si>
    <t>Beschreibung</t>
  </si>
  <si>
    <t>Checkliste / Szenario</t>
  </si>
  <si>
    <t>Gefunden von</t>
  </si>
  <si>
    <t>Schweregrad</t>
  </si>
  <si>
    <t>Kommentar</t>
  </si>
  <si>
    <t>Verant-wortlich / Datum</t>
  </si>
  <si>
    <t>models.py</t>
  </si>
  <si>
    <t>Zeile 17 f.</t>
  </si>
  <si>
    <t>User Rollen Attribut nicht implementiert</t>
  </si>
  <si>
    <t>FR-12 aus Source Repo -&gt; requirements.md</t>
  </si>
  <si>
    <t>Leonhard Schneider</t>
  </si>
  <si>
    <t>Das ist noch nicht implementiert.</t>
  </si>
  <si>
    <t>Offen</t>
  </si>
  <si>
    <t>Zeile 62</t>
  </si>
  <si>
    <t>assignee Attribut ist ein string(100), dies könnte zu Problemen bei Gruppentasks führen.</t>
  </si>
  <si>
    <t>FR-10 aus Source Repo --&gt; requirements.md</t>
  </si>
  <si>
    <t>Marc Walter</t>
  </si>
  <si>
    <t>Nur eine Person kann hinzugefügt werden, die man manuell einträgt. Gruppen Aufgaben können noch nicht mehreren Mitgliedern zugeteilt werden</t>
  </si>
  <si>
    <t>Zurückgestellt</t>
  </si>
  <si>
    <t>Zeile 29</t>
  </si>
  <si>
    <t>Sollte ein User gelöscht werden, werden auch die Gruppen Tasks gelöscht, die dieser User erstellt hat. Dies kann zu Problemen führen, sollte die Gruppe auch nach dem der User gelöscht wird, weiterhin besteht</t>
  </si>
  <si>
    <t>ReadMe.md</t>
  </si>
  <si>
    <t>Dokumentation unvollständig, Installationsskript ungenau beschrieben</t>
  </si>
  <si>
    <t>Dominik Ehmann</t>
  </si>
  <si>
    <t>Zeile 53 f.</t>
  </si>
  <si>
    <t>Notification als Feature, Step aber noch nicht implementiert</t>
  </si>
  <si>
    <t>Usecase 006</t>
  </si>
  <si>
    <t>Masterplan</t>
  </si>
  <si>
    <t>Review Nr.</t>
  </si>
  <si>
    <t>studyconnect Gruppe 5</t>
  </si>
  <si>
    <t>Projektmanager</t>
  </si>
  <si>
    <t>Qualitätsmanager</t>
  </si>
  <si>
    <t>Autor(en)</t>
  </si>
  <si>
    <t>Abk.</t>
  </si>
  <si>
    <t>Referenzdokumente</t>
  </si>
  <si>
    <t>Checklisten / Szenarios</t>
  </si>
  <si>
    <t>Kick-off</t>
  </si>
  <si>
    <t>Datum / Zeit / Ort</t>
  </si>
  <si>
    <t>Individuelle Vorbereitung</t>
  </si>
  <si>
    <t>Einheit</t>
  </si>
  <si>
    <t>Abgabe Befunde bis zum</t>
  </si>
  <si>
    <t>Größe der Reviewobjekte</t>
  </si>
  <si>
    <t>NLOC</t>
  </si>
  <si>
    <t>Optimale Inspektionsrate</t>
  </si>
  <si>
    <t>Optimale Inspektionszeit</t>
  </si>
  <si>
    <t>Reviewsitzung</t>
  </si>
  <si>
    <t>Weitere Anmerkungen</t>
  </si>
  <si>
    <t>Reviews / Inspektionen</t>
  </si>
  <si>
    <t>Referenzierte / Mitgeltende Dokumente</t>
  </si>
  <si>
    <t>Allgemeiner Reviewprozess</t>
  </si>
  <si>
    <t>Phase</t>
  </si>
  <si>
    <t>Planung</t>
  </si>
  <si>
    <t>In der Planungsphase prüft der Moderator, ob die Eingangskriterien erfüllt sind, z.B. ob sich das Reviewobjekt überhaupt in einem reviewbaren Zustand befindet. Der weitere Ablauf des Reviews wird geplant (Gutachter und Termine werden festgelegt, Einladungen verschickt, etc.).&amp;#10;Der Moderator füllt dazu den Masterplan (MP) aus und ermittelt die optimale Inspektionsrate.</t>
  </si>
  <si>
    <t>Kick-Off (optional)</t>
  </si>
  <si>
    <t>Im (optionalen) Kick-off-Meeting gibt der Autor den Gutachtern so viel Hintergrundinformation zum Reviewobjekt und zum Projektumfeld, dass jeder Gutachter sinnvoll Fehler finden kann.&amp;#10;Zusätzlich stellt der Moderator den Masterplan (MP) vor und ergänzt ihn.</t>
  </si>
  <si>
    <t>In der individuellen Vorbereitung sucht jeder Gutachter nach Fehlern und sonstigen Problemen im Reviewobjekt.&amp;#10;Die Befunde und die Prüfzeit werden dem Moderator berichtet.&amp;#10;Der Moderator führt die Befunde aller Reviewer in einem Dokument zusammen, bereitet die Reviewsitzung vor und ermittelt bereits erste Kennzahlen (DS).</t>
  </si>
  <si>
    <t xml:space="preserve">In der Reviewsitzung entscheidet das Reviewteam über den Status jedes Befunds. Eventuell wird in der Sitzung nach weiteren Fehlern gesucht. Gegebenenfalls wird entschieden, ob eine Re-Inspektion des Reviewobjekts nötig ist. Optional werden nach der Sitzung in einer »Dritten Stunde« offene Diskussionspunkte besprochen oder einige Fehler aus der Befundliste analysiert, damit in Zukunft Fehler dieser Art vermieden werden können.&amp;#10;Die Befundliste (LoF) wird überarbeitet und es werden Kommentare sowie evtl. ein Status und Verantwortlichkeiten hinzugefügt. </t>
  </si>
  <si>
    <t>Überarbeitung</t>
  </si>
  <si>
    <t>In der Phase Überarbeitung bearbeitet der Autor die  Befunde und verbessert das Reviewobjekt und gegebenenfalls die Referenzdokumente.&amp;#10;Dazu sollte der Autor den Status des Befunds (LoF) setzen und den Aufwand für die Überarbeitung im Data Summary (DS) notieren.</t>
  </si>
  <si>
    <t>Follow-up</t>
  </si>
  <si>
    <t>In der Follow-up-Phase prüft der Moderator, ob der Autor alle Befunde angemessen bearbeitet hat. Sofern es nicht schon in der Reviewsitzung geschehen ist, erfolgt die Entscheidung über die Freigabe oder Re-Inspektion des Reviewobjekts. Alle notwendigen Kennzahlen werden an die Qualitätssicherung geliefert.&amp;#10;Der Reviewreport (RR) wird erzeugt und dem Unternehmen zur Verfügung gestellt.</t>
  </si>
  <si>
    <t>Copyright &amp; Änderungshistorie der Vorlage</t>
  </si>
  <si>
    <t>Version</t>
  </si>
  <si>
    <t>Datum</t>
  </si>
  <si>
    <t>Geändert von</t>
  </si>
  <si>
    <t>M. Schlich</t>
  </si>
  <si>
    <t>Einarbeitung aller Reviewkommentare in Review_Template_RC_de_v1.5.xlsx</t>
  </si>
  <si>
    <r>
      <t/>
    </r>
    <r>
      <rPr>
        <sz val="10"/>
        <color theme="1"/>
        <rFont val="Arial"/>
        <family val="2"/>
      </rPr>
      <t>Review_Template_</t>
    </r>
    <r>
      <rPr>
        <b/>
        <sz val="10"/>
        <color theme="1"/>
        <rFont val="Arial"/>
        <family val="2"/>
      </rPr>
      <t>RC_de</t>
    </r>
    <r>
      <rPr>
        <sz val="10"/>
        <color theme="1"/>
        <rFont val="Arial"/>
        <family val="2"/>
      </rPr>
      <t>_v1.4.xlsx (deutsche Version der Vorlage) erstellt&amp;#10;Maintenance-No. 140-    ergänzt</t>
    </r>
  </si>
  <si>
    <t>P. Rösler</t>
  </si>
  <si>
    <t>Maintenance-No. 136-139 ergänzt</t>
  </si>
  <si>
    <t>Maintenance-No. 58, 77, 79, 86-95 bearbeitet</t>
  </si>
  <si>
    <t>Minikorrektur</t>
  </si>
  <si>
    <t>Version angelegt, 1 Maint.-No. ergänzt</t>
  </si>
  <si>
    <t>Maintenance-No. (see hidden sheet "Maintenance") 5, 74, 76, 100, 102-104, 111, 112, 116, 125, 131-133</t>
  </si>
  <si>
    <t>Maintenance-No. 58, 77, 79, 86-95</t>
  </si>
  <si>
    <t>Design changes recommended by graphic designer Ruth Weiler, Berlin</t>
  </si>
  <si>
    <t>Maintenance-No. 69, 73, 81, 83, 84, English corrections</t>
  </si>
  <si>
    <t>Maintenance-No. 66-68, 70-72 solved</t>
  </si>
  <si>
    <r>
      <t/>
    </r>
    <r>
      <rPr>
        <b/>
        <sz val="10"/>
        <color theme="1"/>
        <rFont val="Arial"/>
        <family val="2"/>
      </rPr>
      <t>Release for external use.</t>
    </r>
    <r>
      <rPr>
        <sz val="10"/>
        <color theme="1"/>
        <rFont val="Arial"/>
        <family val="2"/>
      </rPr>
      <t xml:space="preserve"> 2012-08-15, Maud Schlich, Ralf Kneuper, Peter Rösler</t>
    </r>
  </si>
  <si>
    <t>0.2</t>
  </si>
  <si>
    <t xml:space="preserve">LoF new column "In Charge". Some Maintenance-No. solved. </t>
  </si>
  <si>
    <t>DS: table "Defect Summary by Status" added, DS: A37/A43: "per Unit" as formula</t>
  </si>
  <si>
    <t>0.1</t>
  </si>
  <si>
    <t xml:space="preserve">MP and LoF: cells for checklists / scenarios added, DS: B5-B18 changed, DS: Auxiliary Cells added, DS: further minor changes. Other Maintenance-No. solved. </t>
  </si>
  <si>
    <t>0.0</t>
  </si>
  <si>
    <t>P. Rösler (ReviewConsult)</t>
  </si>
  <si>
    <r>
      <t/>
    </r>
    <r>
      <rPr>
        <sz val="10"/>
        <color theme="1"/>
        <rFont val="Arial"/>
        <family val="2"/>
      </rPr>
      <t>First version created based on templates from J. Flachs and T. Gilb.&amp;#10;Review_Template_</t>
    </r>
    <r>
      <rPr>
        <b/>
        <sz val="10"/>
        <color theme="1"/>
        <rFont val="Arial"/>
        <family val="2"/>
      </rPr>
      <t>RC_en</t>
    </r>
    <r>
      <rPr>
        <sz val="10"/>
        <color theme="1"/>
        <rFont val="Arial"/>
        <family val="2"/>
      </rPr>
      <t xml:space="preserve">_v&lt;x.x&gt;.xlsx is the </t>
    </r>
    <r>
      <rPr>
        <b/>
        <sz val="10"/>
        <color theme="1"/>
        <rFont val="Arial"/>
        <family val="2"/>
      </rPr>
      <t>En</t>
    </r>
    <r>
      <rPr>
        <sz val="10"/>
        <color theme="1"/>
        <rFont val="Arial"/>
        <family val="2"/>
      </rPr>
      <t xml:space="preserve">glish version of </t>
    </r>
    <r>
      <rPr>
        <b/>
        <sz val="10"/>
        <color theme="1"/>
        <rFont val="Arial"/>
        <family val="2"/>
      </rPr>
      <t>R</t>
    </r>
    <r>
      <rPr>
        <sz val="10"/>
        <color theme="1"/>
        <rFont val="Arial"/>
        <family val="2"/>
      </rPr>
      <t>eview</t>
    </r>
    <r>
      <rPr>
        <b/>
        <sz val="10"/>
        <color theme="1"/>
        <rFont val="Arial"/>
        <family val="2"/>
      </rPr>
      <t>C</t>
    </r>
    <r>
      <rPr>
        <sz val="10"/>
        <color theme="1"/>
        <rFont val="Arial"/>
        <family val="2"/>
      </rPr>
      <t xml:space="preserve">onsult&amp;apos;s review template.&amp;#10;Check </t>
    </r>
    <r>
      <rPr>
        <b/>
        <sz val="10"/>
        <color theme="1"/>
        <rFont val="Arial"/>
        <family val="2"/>
      </rPr>
      <t>www.reviewconsult.de</t>
    </r>
    <r>
      <rPr>
        <sz val="10"/>
        <color theme="1"/>
        <rFont val="Arial"/>
        <family val="2"/>
      </rPr>
      <t xml:space="preserve"> for newer versions of this template.</t>
    </r>
  </si>
  <si>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</si>
  <si>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t>←</t>
  </si>
  <si>
    <t>Farbcode, Hinweise zur Wartung, Einschränkungen &amp; bekannte Probleme</t>
  </si>
  <si>
    <t>Farbcode</t>
  </si>
  <si>
    <t>Überschriftsfeld, manchmal mit erklärendem Kommentar</t>
  </si>
  <si>
    <t>pp</t>
  </si>
  <si>
    <t>Feld, in das Daten eingetragen werden</t>
  </si>
  <si>
    <t>Berechnetes Ergebnis</t>
  </si>
  <si>
    <t>Hinweise zur Wartung</t>
  </si>
  <si>
    <t>Einschränkungen und bekannte Probleme</t>
  </si>
  <si>
    <t>Eingetragen von</t>
  </si>
  <si>
    <t>Excelversionen:&amp;#10;Die Vorlage ist für die Nutzung unter Excel 2003 für Windows optimiert.</t>
  </si>
  <si>
    <t>Anzahl der Befunde:&amp;#10;Im Blatt DS nutzen einige Formeln die Zahl 9999 zur Berechnung. Daraus folgt, dass diese nur funktionieren, wenn in Blatt LoF weniger als ungefähr 9999 Befunde eingetragen wurden.</t>
  </si>
  <si>
    <t>Eingangs- und Ausgangskriterien:&amp;#10;Diese Vorlage unterstützt die Nutzung von Ein- und Ausgangskriterien nicht, d.h. es sind keine Zellen explizit dafür vorgesehen.&amp;#10;</t>
  </si>
  <si>
    <t>Größe der Reviewobjekte:&amp;#10;Wenn mehr als ein Reviewobjekt in MP eingetragen wird und diese unterschiedliche Einheiten für die Größe haben (wie z.B. LOC und pp) können einige Felder nicht korrekt berechnet werden.&amp;#10;("Größe der Reviewobjekte" in MP und etwa 4 weitere in DS) .</t>
  </si>
  <si>
    <t>Dropdown-Listen:&amp;#10;Die Dropdown-Listen in Tabellenblatt LoF Spalten "Reviewobjekt" und "Input von" sind absichtlich auf die Darstellung von 8 Einträgen limitiert, um dem Nutzer das viele Scrollen zu ersparen) (Siehe auch Maintenance Nr. 2)</t>
  </si>
  <si>
    <t>Konsistenz zwischen den Tabellenblättern MP und RR:&amp;#10;Das Tabellenblatt RR nutzt etwa 15 Felder deren Werte direkt aus MP entnommen werden. Formatänderungen auf MP wie z.B. Durchstreichungen werden nicht automatisch auf die Felder in RR übernommen. Siehe auch Maintenance Nr. 47.</t>
  </si>
  <si>
    <t>Konsistenz zwischen den Tabellenblättern MP und RR:&amp;#10;Wenn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</si>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</sst>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dd/mm/yyyy"/>
    <numFmt numFmtId="165" formatCode="#,##0.0"/>
    <numFmt numFmtId="166" formatCode="yyyy-mm-dd"/>
  </numFmts>
  <fonts count="13" x14ac:knownFonts="1">
    <font>
      <sz val="11"/>
      <color theme="1"/>
      <name val="Calibri"/>
      <family val="2"/>
      <scheme val="minor"/>
    </font>
    <font>
      <b/>
      <sz val="16"/>
      <color theme="1"/>
      <name val="Arial"/>
      <family val="2"/>
    </font>
    <font>
      <b/>
      <sz val="10"/>
      <color theme="1"/>
      <name val="Arial"/>
      <family val="2"/>
    </font>
    <font>
      <sz val="10"/>
      <color theme="1"/>
      <name val="Arial"/>
      <family val="2"/>
    </font>
    <font>
      <sz val="8"/>
      <color theme="1"/>
      <name val="Arial"/>
      <family val="2"/>
    </font>
    <font>
      <sz val="11"/>
      <color rgb="FF3f3f76"/>
      <name val="Calibri"/>
      <family val="2"/>
    </font>
    <font>
      <sz val="11"/>
      <color theme="1"/>
      <name val="Arial"/>
      <family val="2"/>
    </font>
    <font>
      <b/>
      <sz val="18"/>
      <color theme="1"/>
      <name val="Arial"/>
      <family val="2"/>
    </font>
    <font>
      <b/>
      <i/>
      <sz val="11"/>
      <color theme="1"/>
      <name val="Arial"/>
      <family val="2"/>
    </font>
    <font>
      <sz val="9"/>
      <color theme="1"/>
      <name val="Arial"/>
      <family val="2"/>
    </font>
    <font>
      <b/>
      <i/>
      <sz val="10"/>
      <color theme="1"/>
      <name val="Arial"/>
      <family val="2"/>
    </font>
    <font>
      <b/>
      <sz val="12"/>
      <color theme="1"/>
      <name val="Arial"/>
      <family val="2"/>
    </font>
    <font>
      <sz val="10"/>
      <color rgb="FFff0000"/>
      <name val="Arial"/>
      <family val="2"/>
    </font>
  </fonts>
  <fills count="7">
    <fill>
      <patternFill patternType="none"/>
    </fill>
    <fill>
      <patternFill patternType="gray125"/>
    </fill>
    <fill>
      <patternFill patternType="solid">
        <fgColor rgb="FFffff99"/>
      </patternFill>
    </fill>
    <fill>
      <patternFill patternType="solid">
        <fgColor rgb="FFdeebcd"/>
      </patternFill>
    </fill>
    <fill>
      <patternFill patternType="solid">
        <fgColor rgb="FFffcc99"/>
      </patternFill>
    </fill>
    <fill>
      <patternFill patternType="solid">
        <fgColor rgb="FFffffff"/>
      </patternFill>
    </fill>
    <fill>
      <patternFill patternType="solid">
        <fgColor rgb="FFd5f5fb"/>
      </patternFill>
    </fill>
  </fills>
  <borders count="20">
    <border>
      <left/>
      <right/>
      <top/>
      <bottom/>
      <diagonal/>
    </border>
    <border>
      <left style="thin">
        <color rgb="FFc6c6c6"/>
      </left>
      <right style="thin">
        <color rgb="FFc6c6c6"/>
      </right>
      <top style="thin">
        <color rgb="FFc6c6c6"/>
      </top>
      <bottom style="thin">
        <color rgb="FFc9c9c9"/>
      </bottom>
      <diagonal/>
    </border>
    <border>
      <left style="thin">
        <color rgb="FFc9c9c9"/>
      </left>
      <right style="thin">
        <color rgb="FFc9c9c9"/>
      </right>
      <top style="thin">
        <color rgb="FFc6c6c6"/>
      </top>
      <bottom style="thin">
        <color rgb="FFc6c6c6"/>
      </bottom>
      <diagonal/>
    </border>
    <border>
      <left style="thin">
        <color rgb="FFc9c9c9"/>
      </left>
      <right style="thin">
        <color rgb="FFc9c9c9"/>
      </right>
      <top style="thin">
        <color rgb="FFc9c9c9"/>
      </top>
      <bottom style="thin">
        <color rgb="FFc9c9c9"/>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c9c9c9"/>
      </left>
      <right style="thin">
        <color rgb="FFc6c6c6"/>
      </right>
      <top style="thin">
        <color rgb="FFc9c9c9"/>
      </top>
      <bottom style="thin">
        <color rgb="FFc9c9c9"/>
      </bottom>
      <diagonal/>
    </border>
    <border>
      <left style="thin">
        <color rgb="FFc6c6c6"/>
      </left>
      <right style="thin">
        <color rgb="FFc9c9c9"/>
      </right>
      <top style="thin">
        <color rgb="FFc9c9c9"/>
      </top>
      <bottom style="thin">
        <color rgb="FFc9c9c9"/>
      </bottom>
      <diagonal/>
    </border>
    <border>
      <left style="thin">
        <color rgb="FFc9c9c9"/>
      </left>
      <right/>
      <top/>
      <bottom/>
      <diagonal/>
    </border>
    <border>
      <left style="thin">
        <color rgb="FFc9c9c9"/>
      </left>
      <right style="thin">
        <color rgb="FFc6c6c6"/>
      </right>
      <top style="thin">
        <color rgb="FFc9c9c9"/>
      </top>
      <bottom style="thin">
        <color rgb="FFc6c6c6"/>
      </bottom>
      <diagonal/>
    </border>
    <border>
      <left style="thin">
        <color rgb="FFc6c6c6"/>
      </left>
      <right style="thin">
        <color rgb="FFc6c6c6"/>
      </right>
      <top style="thin">
        <color rgb="FFc9c9c9"/>
      </top>
      <bottom style="thin">
        <color rgb="FFc6c6c6"/>
      </bottom>
      <diagonal/>
    </border>
    <border>
      <left style="thin">
        <color rgb="FFc6c6c6"/>
      </left>
      <right style="thin">
        <color rgb="FFc9c9c9"/>
      </right>
      <top style="thin">
        <color rgb="FFc9c9c9"/>
      </top>
      <bottom style="thin">
        <color rgb="FFc6c6c6"/>
      </bottom>
      <diagonal/>
    </border>
    <border>
      <left style="thin">
        <color rgb="FFc9c9c9"/>
      </left>
      <right/>
      <top style="thin">
        <color rgb="FFc9c9c9"/>
      </top>
      <bottom/>
      <diagonal/>
    </border>
    <border>
      <left style="thin">
        <color rgb="FFc9c9c9"/>
      </left>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c9c9c9"/>
      </left>
      <right/>
      <top/>
      <bottom style="thin">
        <color rgb="FFc9c9c9"/>
      </bottom>
      <diagonal/>
    </border>
    <border>
      <left style="thin">
        <color rgb="FFc6c6c6"/>
      </left>
      <right style="thin">
        <color rgb="FFc6c6c6"/>
      </right>
      <top style="thin">
        <color rgb="FFc9c9c9"/>
      </top>
      <bottom style="thin">
        <color rgb="FFc9c9c9"/>
      </bottom>
      <diagonal/>
    </border>
    <border>
      <left style="thin">
        <color rgb="FFc9c9c9"/>
      </left>
      <right style="thin">
        <color rgb="FFc9c9c9"/>
      </right>
      <top/>
      <bottom style="thin">
        <color rgb="FFc9c9c9"/>
      </bottom>
      <diagonal/>
    </border>
    <border>
      <left/>
      <right/>
      <top style="thin">
        <color rgb="FFc9c9c9"/>
      </top>
      <bottom/>
      <diagonal/>
    </border>
    <border>
      <left/>
      <right/>
      <top/>
      <bottom style="thin">
        <color rgb="FFc9c9c9"/>
      </bottom>
      <diagonal/>
    </border>
  </borders>
  <cellStyleXfs count="1">
    <xf numFmtId="0" fontId="0" fillId="0" borderId="0"/>
  </cellStyleXfs>
  <cellXfs count="96">
    <xf xfId="0" numFmtId="0" borderId="0" fontId="0" fillId="0"/>
    <xf xfId="0" numFmtId="49" applyNumberFormat="1" borderId="1" applyBorder="1" fontId="1" applyFont="1" fillId="2" applyFill="1" applyAlignment="1">
      <alignment horizontal="center"/>
    </xf>
    <xf xfId="0" numFmtId="0" borderId="1" applyBorder="1" fontId="1" applyFont="1" fillId="2" applyFill="1" applyAlignment="1">
      <alignment horizontal="center"/>
    </xf>
    <xf xfId="0" numFmtId="0" borderId="0" fontId="0" fillId="0" applyAlignment="1">
      <alignment horizontal="general"/>
    </xf>
    <xf xfId="0" numFmtId="49" applyNumberFormat="1" borderId="2" applyBorder="1" fontId="2" applyFont="1" fillId="2" applyFill="1" applyAlignment="1">
      <alignment horizontal="center"/>
    </xf>
    <xf xfId="0" numFmtId="0" borderId="2" applyBorder="1" fontId="2" applyFont="1" fillId="2" applyFill="1" applyAlignment="1">
      <alignment horizontal="center"/>
    </xf>
    <xf xfId="0" numFmtId="49" applyNumberFormat="1" borderId="3" applyBorder="1" fontId="3" applyFont="1" fillId="0" applyAlignment="1">
      <alignment horizontal="center"/>
    </xf>
    <xf xfId="0" numFmtId="0" borderId="3" applyBorder="1" fontId="3" applyFont="1" fillId="0" applyAlignment="1">
      <alignment horizontal="center"/>
    </xf>
    <xf xfId="0" numFmtId="0" borderId="3" applyBorder="1" fontId="3" applyFont="1" fillId="0" applyAlignment="1">
      <alignment horizontal="left"/>
    </xf>
    <xf xfId="0" numFmtId="0" borderId="3" applyBorder="1" fontId="4" applyFont="1" fillId="0" applyAlignment="1">
      <alignment horizontal="center"/>
    </xf>
    <xf xfId="0" numFmtId="164" applyNumberFormat="1" borderId="3" applyBorder="1" fontId="3" applyFont="1" fillId="0" applyAlignment="1">
      <alignment horizontal="center"/>
    </xf>
    <xf xfId="0" numFmtId="3" applyNumberFormat="1" borderId="3" applyBorder="1" fontId="3" applyFont="1" fillId="0" applyAlignment="1">
      <alignment horizontal="center"/>
    </xf>
    <xf xfId="0" numFmtId="0" borderId="3" applyBorder="1" fontId="4" applyFont="1" fillId="0" applyAlignment="1">
      <alignment horizontal="left"/>
    </xf>
    <xf xfId="0" numFmtId="0" borderId="2" applyBorder="1" fontId="2" applyFont="1" fillId="3" applyFill="1" applyAlignment="1">
      <alignment horizontal="center"/>
    </xf>
    <xf xfId="0" numFmtId="0" borderId="4" applyBorder="1" fontId="5" applyFont="1" fillId="4" applyFill="1" applyAlignment="1">
      <alignment horizontal="center"/>
    </xf>
    <xf xfId="0" numFmtId="0" borderId="4" applyBorder="1" fontId="5" applyFont="1" fillId="5" applyFill="1" applyAlignment="1">
      <alignment horizontal="center"/>
    </xf>
    <xf xfId="0" numFmtId="164" applyNumberFormat="1" borderId="4" applyBorder="1" fontId="5" applyFont="1" fillId="5" applyFill="1" applyAlignment="1">
      <alignment horizontal="center"/>
    </xf>
    <xf xfId="0" numFmtId="3" applyNumberFormat="1" borderId="5" applyBorder="1" fontId="6" applyFont="1" fillId="0" applyAlignment="1">
      <alignment horizontal="center"/>
    </xf>
    <xf xfId="0" numFmtId="49" applyNumberFormat="1" borderId="0" fontId="0" fillId="0" applyAlignment="1">
      <alignment horizontal="center"/>
    </xf>
    <xf xfId="0" numFmtId="0" borderId="0" fontId="0" fillId="0" applyAlignment="1">
      <alignment horizontal="general"/>
    </xf>
    <xf xfId="0" numFmtId="0" borderId="6" applyBorder="1" fontId="7" applyFont="1" fillId="3" applyFill="1" applyAlignment="1">
      <alignment horizontal="left"/>
    </xf>
    <xf xfId="0" numFmtId="0" borderId="7" applyBorder="1" fontId="7" applyFont="1" fillId="3" applyFill="1" applyAlignment="1">
      <alignment horizontal="left"/>
    </xf>
    <xf xfId="0" numFmtId="0" borderId="8" applyBorder="1" fontId="8" applyFont="1" fillId="0" applyAlignment="1">
      <alignment horizontal="right"/>
    </xf>
    <xf xfId="0" numFmtId="164" applyNumberFormat="1" borderId="3" applyBorder="1" fontId="6" applyFont="1" fillId="0" applyAlignment="1">
      <alignment horizontal="left"/>
    </xf>
    <xf xfId="0" numFmtId="0" borderId="3" applyBorder="1" fontId="6" applyFont="1" fillId="6" applyFill="1" applyAlignment="1">
      <alignment horizontal="left"/>
    </xf>
    <xf xfId="0" numFmtId="0" borderId="5" applyBorder="1" fontId="3" applyFont="1" fillId="0" applyAlignment="1">
      <alignment horizontal="left"/>
    </xf>
    <xf xfId="0" numFmtId="3" applyNumberFormat="1" borderId="5" applyBorder="1" fontId="6" applyFont="1" fillId="0" applyAlignment="1">
      <alignment horizontal="right"/>
    </xf>
    <xf xfId="0" numFmtId="0" borderId="6" applyBorder="1" fontId="8" applyFont="1" fillId="3" applyFill="1" applyAlignment="1">
      <alignment horizontal="left"/>
    </xf>
    <xf xfId="0" numFmtId="0" borderId="7" applyBorder="1" fontId="8" applyFont="1" fillId="3" applyFill="1" applyAlignment="1">
      <alignment horizontal="left"/>
    </xf>
    <xf xfId="0" numFmtId="0" borderId="3" applyBorder="1" fontId="6" applyFont="1" fillId="0" applyAlignment="1">
      <alignment horizontal="left"/>
    </xf>
    <xf xfId="0" numFmtId="0" borderId="5" applyBorder="1" fontId="9" applyFont="1" fillId="0" applyAlignment="1">
      <alignment horizontal="left"/>
    </xf>
    <xf xfId="0" numFmtId="49" applyNumberFormat="1" borderId="5" applyBorder="1" fontId="1" applyFont="1" fillId="0" applyAlignment="1">
      <alignment horizontal="center"/>
    </xf>
    <xf xfId="0" numFmtId="0" borderId="5" applyBorder="1" fontId="1" applyFont="1" fillId="0" applyAlignment="1">
      <alignment horizontal="center"/>
    </xf>
    <xf xfId="0" numFmtId="49" applyNumberFormat="1" borderId="3" applyBorder="1" fontId="10" applyFont="1" fillId="3" applyFill="1" applyAlignment="1">
      <alignment horizontal="center"/>
    </xf>
    <xf xfId="0" numFmtId="0" borderId="3" applyBorder="1" fontId="10" applyFont="1" fillId="3" applyFill="1" applyAlignment="1">
      <alignment horizontal="center"/>
    </xf>
    <xf xfId="0" numFmtId="49" applyNumberFormat="1" borderId="2" applyBorder="1" fontId="2" applyFont="1" fillId="3" applyFill="1" applyAlignment="1">
      <alignment horizontal="center"/>
    </xf>
    <xf xfId="0" numFmtId="0" borderId="0" fontId="0" fillId="0" applyAlignment="1">
      <alignment horizontal="center"/>
    </xf>
    <xf xfId="0" numFmtId="4" applyNumberFormat="1" borderId="0" fontId="0" fillId="0" applyAlignment="1">
      <alignment horizontal="general"/>
    </xf>
    <xf xfId="0" numFmtId="0" borderId="9" applyBorder="1" fontId="7" applyFont="1" fillId="3" applyFill="1" applyAlignment="1">
      <alignment horizontal="left"/>
    </xf>
    <xf xfId="0" numFmtId="4" applyNumberFormat="1" borderId="10" applyBorder="1" fontId="7" applyFont="1" fillId="3" applyFill="1" applyAlignment="1">
      <alignment horizontal="left"/>
    </xf>
    <xf xfId="0" numFmtId="0" borderId="11" applyBorder="1" fontId="3" applyFont="1" fillId="3" applyFill="1" applyAlignment="1">
      <alignment horizontal="center"/>
    </xf>
    <xf xfId="0" numFmtId="0" borderId="12" applyBorder="1" fontId="8" applyFont="1" fillId="0" applyAlignment="1">
      <alignment horizontal="right"/>
    </xf>
    <xf xfId="0" numFmtId="3" applyNumberFormat="1" borderId="13" applyBorder="1" fontId="6" applyFont="1" fillId="0" applyAlignment="1">
      <alignment horizontal="left"/>
    </xf>
    <xf xfId="0" numFmtId="0" borderId="14" applyBorder="1" fontId="6" applyFont="1" fillId="0" applyAlignment="1">
      <alignment horizontal="center"/>
    </xf>
    <xf xfId="0" numFmtId="4" applyNumberFormat="1" borderId="13" applyBorder="1" fontId="6" applyFont="1" fillId="0" applyAlignment="1">
      <alignment horizontal="left"/>
    </xf>
    <xf xfId="0" numFmtId="0" borderId="15" applyBorder="1" fontId="8" applyFont="1" fillId="0" applyAlignment="1">
      <alignment horizontal="right"/>
    </xf>
    <xf xfId="0" numFmtId="4" applyNumberFormat="1" borderId="16" applyBorder="1" fontId="8" applyFont="1" fillId="3" applyFill="1" applyAlignment="1">
      <alignment horizontal="left"/>
    </xf>
    <xf xfId="0" numFmtId="0" borderId="3" applyBorder="1" fontId="8" applyFont="1" fillId="3" applyFill="1" applyAlignment="1">
      <alignment horizontal="center"/>
    </xf>
    <xf xfId="0" numFmtId="4" applyNumberFormat="1" borderId="3" applyBorder="1" fontId="6" applyFont="1" fillId="0" applyAlignment="1">
      <alignment horizontal="left"/>
    </xf>
    <xf xfId="0" numFmtId="3" applyNumberFormat="1" borderId="3" applyBorder="1" fontId="6" applyFont="1" fillId="0" applyAlignment="1">
      <alignment horizontal="center"/>
    </xf>
    <xf xfId="0" numFmtId="0" borderId="7" applyBorder="1" fontId="8" applyFont="1" fillId="3" applyFill="1" applyAlignment="1">
      <alignment horizontal="center"/>
    </xf>
    <xf xfId="0" numFmtId="4" applyNumberFormat="1" borderId="6" applyBorder="1" fontId="8" applyFont="1" fillId="3" applyFill="1" applyAlignment="1">
      <alignment horizontal="left"/>
    </xf>
    <xf xfId="0" numFmtId="0" borderId="3" applyBorder="1" fontId="6" applyFont="1" fillId="0" applyAlignment="1">
      <alignment horizontal="center"/>
    </xf>
    <xf xfId="0" numFmtId="165" applyNumberFormat="1" borderId="3" applyBorder="1" fontId="6" applyFont="1" fillId="0" applyAlignment="1">
      <alignment horizontal="left"/>
    </xf>
    <xf xfId="0" numFmtId="0" borderId="3" applyBorder="1" fontId="6" applyFont="1" fillId="6" applyFill="1" applyAlignment="1">
      <alignment horizontal="center"/>
    </xf>
    <xf xfId="0" numFmtId="4" applyNumberFormat="1" borderId="3" applyBorder="1" fontId="6" applyFont="1" fillId="6" applyFill="1" applyAlignment="1">
      <alignment horizontal="left"/>
    </xf>
    <xf xfId="0" numFmtId="4" applyNumberFormat="1" borderId="0" fontId="0" fillId="0" applyAlignment="1">
      <alignment horizontal="general"/>
    </xf>
    <xf xfId="0" numFmtId="3" applyNumberFormat="1" borderId="0" fontId="0" fillId="0" applyAlignment="1">
      <alignment horizontal="center"/>
    </xf>
    <xf xfId="0" numFmtId="166" applyNumberFormat="1" borderId="0" fontId="0" fillId="0" applyAlignment="1">
      <alignment horizontal="left"/>
    </xf>
    <xf xfId="0" numFmtId="0" borderId="0" fontId="0" fillId="0" applyAlignment="1">
      <alignment horizontal="left"/>
    </xf>
    <xf xfId="0" numFmtId="3" applyNumberFormat="1" borderId="6" applyBorder="1" fontId="7" applyFont="1" fillId="3" applyFill="1" applyAlignment="1">
      <alignment horizontal="left"/>
    </xf>
    <xf xfId="0" numFmtId="166" applyNumberFormat="1" borderId="16" applyBorder="1" fontId="7" applyFont="1" fillId="3" applyFill="1" applyAlignment="1">
      <alignment horizontal="left"/>
    </xf>
    <xf xfId="0" numFmtId="0" borderId="16" applyBorder="1" fontId="3" applyFont="1" fillId="3" applyFill="1" applyAlignment="1">
      <alignment horizontal="left"/>
    </xf>
    <xf xfId="0" numFmtId="0" borderId="7" applyBorder="1" fontId="3" applyFont="1" fillId="3" applyFill="1" applyAlignment="1">
      <alignment horizontal="left"/>
    </xf>
    <xf xfId="0" numFmtId="3" applyNumberFormat="1" borderId="6" applyBorder="1" fontId="11" applyFont="1" fillId="3" applyFill="1" applyAlignment="1">
      <alignment horizontal="left"/>
    </xf>
    <xf xfId="0" numFmtId="166" applyNumberFormat="1" borderId="7" applyBorder="1" fontId="10" applyFont="1" fillId="3" applyFill="1" applyAlignment="1">
      <alignment horizontal="center"/>
    </xf>
    <xf xfId="0" numFmtId="0" borderId="7" applyBorder="1" fontId="10" applyFont="1" fillId="3" applyFill="1" applyAlignment="1">
      <alignment horizontal="center"/>
    </xf>
    <xf xfId="0" numFmtId="166" applyNumberFormat="1" borderId="3" applyBorder="1" fontId="6" applyFont="1" fillId="0" applyAlignment="1">
      <alignment horizontal="left"/>
    </xf>
    <xf xfId="0" numFmtId="3" applyNumberFormat="1" borderId="3" applyBorder="1" fontId="10" applyFont="1" fillId="3" applyFill="1" applyAlignment="1">
      <alignment horizontal="center"/>
    </xf>
    <xf xfId="0" numFmtId="166" applyNumberFormat="1" borderId="3" applyBorder="1" fontId="10" applyFont="1" fillId="3" applyFill="1" applyAlignment="1">
      <alignment horizontal="center"/>
    </xf>
    <xf xfId="0" numFmtId="0" borderId="5" applyBorder="1" fontId="12" applyFont="1" fillId="0" applyAlignment="1">
      <alignment horizontal="left"/>
    </xf>
    <xf xfId="0" numFmtId="3" applyNumberFormat="1" borderId="3" applyBorder="1" fontId="2" applyFont="1" fillId="3" applyFill="1" applyAlignment="1">
      <alignment horizontal="center"/>
    </xf>
    <xf xfId="0" numFmtId="166" applyNumberFormat="1" borderId="3" applyBorder="1" fontId="2" applyFont="1" fillId="3" applyFill="1" applyAlignment="1">
      <alignment horizontal="center"/>
    </xf>
    <xf xfId="0" numFmtId="0" borderId="3" applyBorder="1" fontId="2" applyFont="1" fillId="3" applyFill="1" applyAlignment="1">
      <alignment horizontal="center"/>
    </xf>
    <xf xfId="0" numFmtId="3" applyNumberFormat="1" borderId="3" applyBorder="1" fontId="10" applyFont="1" fillId="0" applyAlignment="1">
      <alignment horizontal="left"/>
    </xf>
    <xf xfId="0" numFmtId="166" applyNumberFormat="1" borderId="3" applyBorder="1" fontId="10" applyFont="1" fillId="0" applyAlignment="1">
      <alignment horizontal="left"/>
    </xf>
    <xf xfId="0" numFmtId="166" applyNumberFormat="1" borderId="3" applyBorder="1" fontId="3" applyFont="1" fillId="0" applyAlignment="1">
      <alignment horizontal="left"/>
    </xf>
    <xf xfId="0" numFmtId="0" borderId="3" applyBorder="1" fontId="2" applyFont="1" fillId="0" applyAlignment="1">
      <alignment horizontal="left"/>
    </xf>
    <xf xfId="0" numFmtId="3" applyNumberFormat="1" borderId="17" applyBorder="1" fontId="3" applyFont="1" fillId="0" applyAlignment="1">
      <alignment horizontal="left"/>
    </xf>
    <xf xfId="0" numFmtId="166" applyNumberFormat="1" borderId="17" applyBorder="1" fontId="3" applyFont="1" fillId="0" applyAlignment="1">
      <alignment horizontal="left"/>
    </xf>
    <xf xfId="0" numFmtId="0" borderId="17" applyBorder="1" fontId="3" applyFont="1" fillId="0" applyAlignment="1">
      <alignment horizontal="left"/>
    </xf>
    <xf xfId="0" numFmtId="3" applyNumberFormat="1" borderId="7" applyBorder="1" fontId="10" applyFont="1" fillId="3" applyFill="1" applyAlignment="1">
      <alignment horizontal="center"/>
    </xf>
    <xf xfId="0" numFmtId="3" applyNumberFormat="1" borderId="3" applyBorder="1" fontId="8" applyFont="1" fillId="3" applyFill="1" applyAlignment="1">
      <alignment horizontal="center"/>
    </xf>
    <xf xfId="0" numFmtId="3" applyNumberFormat="1" borderId="3" applyBorder="1" fontId="6" applyFont="1" fillId="6" applyFill="1" applyAlignment="1">
      <alignment horizontal="center"/>
    </xf>
    <xf xfId="0" numFmtId="3" applyNumberFormat="1" borderId="18" applyBorder="1" fontId="3" applyFont="1" fillId="0" applyAlignment="1">
      <alignment horizontal="center"/>
    </xf>
    <xf xfId="0" numFmtId="166" applyNumberFormat="1" borderId="18" applyBorder="1" fontId="3" applyFont="1" fillId="0" applyAlignment="1">
      <alignment horizontal="left"/>
    </xf>
    <xf xfId="0" numFmtId="0" borderId="18" applyBorder="1" fontId="3" applyFont="1" fillId="0" applyAlignment="1">
      <alignment horizontal="left"/>
    </xf>
    <xf xfId="0" numFmtId="3" applyNumberFormat="1" borderId="19" applyBorder="1" fontId="3" applyFont="1" fillId="0" applyAlignment="1">
      <alignment horizontal="center"/>
    </xf>
    <xf xfId="0" numFmtId="166" applyNumberFormat="1" borderId="19" applyBorder="1" fontId="3" applyFont="1" fillId="0" applyAlignment="1">
      <alignment horizontal="left"/>
    </xf>
    <xf xfId="0" numFmtId="0" borderId="19" applyBorder="1" fontId="3" applyFont="1" fillId="0" applyAlignment="1">
      <alignment horizontal="left"/>
    </xf>
    <xf xfId="0" numFmtId="3" applyNumberFormat="1" borderId="3" applyBorder="1" fontId="3" applyFont="1" fillId="0" applyAlignment="1">
      <alignment horizontal="left"/>
    </xf>
    <xf xfId="0" numFmtId="166" applyNumberFormat="1" borderId="3" applyBorder="1" fontId="3" applyFont="1" fillId="0" applyAlignment="1">
      <alignment horizontal="center"/>
    </xf>
    <xf xfId="0" numFmtId="165" applyNumberFormat="1" borderId="3" applyBorder="1" fontId="3" applyFont="1" fillId="6" applyFill="1" applyAlignment="1">
      <alignment horizontal="center"/>
    </xf>
    <xf xfId="0" numFmtId="3" applyNumberFormat="1" borderId="0" fontId="0" fillId="0" applyAlignment="1">
      <alignment horizontal="center"/>
    </xf>
    <xf xfId="0" numFmtId="166" applyNumberFormat="1" borderId="0" fontId="0"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9"/>
  <sheetViews>
    <sheetView workbookViewId="0"/>
  </sheetViews>
  <sheetFormatPr defaultRowHeight="15" x14ac:dyDescent="0.25"/>
  <cols>
    <col min="1" max="1" style="93" width="8.719285714285713" customWidth="1" bestFit="1"/>
    <col min="2" max="2" style="94" width="11.147857142857141" customWidth="1" bestFit="1"/>
    <col min="3" max="3" style="95" width="18.14785714285714" customWidth="1" bestFit="1"/>
    <col min="4" max="4" style="19" width="46.14785714285715" customWidth="1" bestFit="1"/>
    <col min="5" max="5" style="19" width="11.43357142857143" customWidth="1" bestFit="1"/>
  </cols>
  <sheetData>
    <row x14ac:dyDescent="0.25" r="1" customHeight="1" ht="18.75">
      <c r="A1" s="57"/>
      <c r="B1" s="58"/>
      <c r="C1" s="59"/>
      <c r="D1" s="3"/>
      <c r="E1" s="3"/>
    </row>
    <row x14ac:dyDescent="0.25" r="2" customHeight="1" ht="18.75">
      <c r="A2" s="60" t="s">
        <v>745</v>
      </c>
      <c r="B2" s="61"/>
      <c r="C2" s="62"/>
      <c r="D2" s="63"/>
      <c r="E2" s="3"/>
    </row>
    <row x14ac:dyDescent="0.25" r="3" customHeight="1" ht="18.75">
      <c r="A3" s="57"/>
      <c r="B3" s="58"/>
      <c r="C3" s="59"/>
      <c r="D3" s="3"/>
      <c r="E3" s="3"/>
    </row>
    <row x14ac:dyDescent="0.25" r="4" customHeight="1" ht="18.75">
      <c r="A4" s="64"/>
      <c r="B4" s="65" t="s">
        <v>746</v>
      </c>
      <c r="C4" s="66"/>
      <c r="D4" s="66"/>
      <c r="E4" s="3"/>
    </row>
    <row x14ac:dyDescent="0.25" r="5" customHeight="1" ht="18.75">
      <c r="A5" s="11">
        <v>1</v>
      </c>
      <c r="B5" s="67"/>
      <c r="C5" s="29"/>
      <c r="D5" s="29"/>
      <c r="E5" s="3"/>
    </row>
    <row x14ac:dyDescent="0.25" r="6" customHeight="1" ht="18.75">
      <c r="A6" s="11">
        <v>2</v>
      </c>
      <c r="B6" s="67"/>
      <c r="C6" s="29"/>
      <c r="D6" s="29"/>
      <c r="E6" s="3"/>
    </row>
    <row x14ac:dyDescent="0.25" r="7" customHeight="1" ht="18.75">
      <c r="A7" s="11">
        <v>3</v>
      </c>
      <c r="B7" s="67"/>
      <c r="C7" s="29"/>
      <c r="D7" s="29"/>
      <c r="E7" s="3"/>
    </row>
    <row x14ac:dyDescent="0.25" r="8" customHeight="1" ht="18.75">
      <c r="A8" s="57"/>
      <c r="B8" s="58"/>
      <c r="C8" s="59"/>
      <c r="D8" s="3"/>
      <c r="E8" s="3"/>
    </row>
    <row x14ac:dyDescent="0.25" r="9" customHeight="1" ht="18.75">
      <c r="A9" s="57"/>
      <c r="B9" s="58"/>
      <c r="C9" s="59"/>
      <c r="D9" s="3"/>
      <c r="E9" s="3"/>
    </row>
    <row x14ac:dyDescent="0.25" r="10" customHeight="1" ht="18.75">
      <c r="A10" s="68" t="s">
        <v>747</v>
      </c>
      <c r="B10" s="69"/>
      <c r="C10" s="34"/>
      <c r="D10" s="34"/>
      <c r="E10" s="70"/>
    </row>
    <row x14ac:dyDescent="0.25" r="11" customHeight="1" ht="18.75">
      <c r="A11" s="71" t="s">
        <v>748</v>
      </c>
      <c r="B11" s="72"/>
      <c r="C11" s="73" t="s">
        <v>698</v>
      </c>
      <c r="D11" s="73"/>
      <c r="E11" s="3"/>
    </row>
    <row x14ac:dyDescent="0.25" r="12" customHeight="1" ht="18.75">
      <c r="A12" s="74" t="s">
        <v>749</v>
      </c>
      <c r="B12" s="75"/>
      <c r="C12" s="8" t="s">
        <v>750</v>
      </c>
      <c r="D12" s="8"/>
      <c r="E12" s="3"/>
    </row>
    <row x14ac:dyDescent="0.25" r="13" customHeight="1" ht="18.75">
      <c r="A13" s="74" t="s">
        <v>751</v>
      </c>
      <c r="B13" s="75"/>
      <c r="C13" s="8" t="s">
        <v>752</v>
      </c>
      <c r="D13" s="8"/>
      <c r="E13" s="3"/>
    </row>
    <row x14ac:dyDescent="0.25" r="14" customHeight="1" ht="18.75">
      <c r="A14" s="74" t="s">
        <v>736</v>
      </c>
      <c r="B14" s="75"/>
      <c r="C14" s="8" t="s">
        <v>753</v>
      </c>
      <c r="D14" s="8"/>
      <c r="E14" s="3"/>
    </row>
    <row x14ac:dyDescent="0.25" r="15" customHeight="1" ht="18.75">
      <c r="A15" s="74" t="s">
        <v>743</v>
      </c>
      <c r="B15" s="75"/>
      <c r="C15" s="8" t="s">
        <v>754</v>
      </c>
      <c r="D15" s="8"/>
      <c r="E15" s="70"/>
    </row>
    <row x14ac:dyDescent="0.25" r="16" customHeight="1" ht="18.75">
      <c r="A16" s="74" t="s">
        <v>755</v>
      </c>
      <c r="B16" s="75"/>
      <c r="C16" s="8" t="s">
        <v>756</v>
      </c>
      <c r="D16" s="8"/>
      <c r="E16" s="3"/>
    </row>
    <row x14ac:dyDescent="0.25" r="17" customHeight="1" ht="18.75">
      <c r="A17" s="74" t="s">
        <v>757</v>
      </c>
      <c r="B17" s="75"/>
      <c r="C17" s="8" t="s">
        <v>758</v>
      </c>
      <c r="D17" s="8"/>
      <c r="E17" s="3"/>
    </row>
    <row x14ac:dyDescent="0.25" r="18" customHeight="1" ht="18.75">
      <c r="A18" s="57"/>
      <c r="B18" s="58"/>
      <c r="C18" s="59"/>
      <c r="D18" s="3"/>
      <c r="E18" s="3"/>
    </row>
    <row x14ac:dyDescent="0.25" r="19" customHeight="1" ht="18.75">
      <c r="A19" s="57"/>
      <c r="B19" s="58"/>
      <c r="C19" s="59"/>
      <c r="D19" s="3"/>
      <c r="E19" s="3"/>
    </row>
    <row x14ac:dyDescent="0.25" r="20" customHeight="1" ht="18.75">
      <c r="A20" s="64"/>
      <c r="B20" s="65" t="s">
        <v>759</v>
      </c>
      <c r="C20" s="66"/>
      <c r="D20" s="66"/>
      <c r="E20" s="3"/>
    </row>
    <row x14ac:dyDescent="0.25" r="21" customHeight="1" ht="18.75">
      <c r="A21" s="71" t="s">
        <v>760</v>
      </c>
      <c r="B21" s="72" t="s">
        <v>761</v>
      </c>
      <c r="C21" s="73" t="s">
        <v>762</v>
      </c>
      <c r="D21" s="73" t="s">
        <v>698</v>
      </c>
      <c r="E21" s="3"/>
    </row>
    <row x14ac:dyDescent="0.25" r="22" customHeight="1" ht="18.75">
      <c r="A22" s="11"/>
      <c r="B22" s="76"/>
      <c r="C22" s="8"/>
      <c r="D22" s="8"/>
      <c r="E22" s="3"/>
    </row>
    <row x14ac:dyDescent="0.25" r="23" customHeight="1" ht="18.75">
      <c r="A23" s="11" t="s">
        <v>473</v>
      </c>
      <c r="B23" s="76">
        <v>25569.04215587963</v>
      </c>
      <c r="C23" s="8" t="s">
        <v>763</v>
      </c>
      <c r="D23" s="8" t="s">
        <v>764</v>
      </c>
      <c r="E23" s="3"/>
    </row>
    <row x14ac:dyDescent="0.25" r="24" customHeight="1" ht="18.75">
      <c r="A24" s="11" t="s">
        <v>473</v>
      </c>
      <c r="B24" s="76">
        <v>25569.042150590278</v>
      </c>
      <c r="C24" s="8" t="s">
        <v>763</v>
      </c>
      <c r="D24" s="8" t="s">
        <v>765</v>
      </c>
      <c r="E24" s="3"/>
    </row>
    <row x14ac:dyDescent="0.25" r="25" customHeight="1" ht="18.75">
      <c r="A25" s="6" t="s">
        <v>458</v>
      </c>
      <c r="B25" s="76">
        <v>25569.042150104167</v>
      </c>
      <c r="C25" s="8" t="s">
        <v>766</v>
      </c>
      <c r="D25" s="8" t="s">
        <v>767</v>
      </c>
      <c r="E25" s="3"/>
    </row>
    <row x14ac:dyDescent="0.25" r="26" customHeight="1" ht="18.75">
      <c r="A26" s="6" t="s">
        <v>458</v>
      </c>
      <c r="B26" s="76">
        <v>25569.042147905093</v>
      </c>
      <c r="C26" s="8" t="s">
        <v>766</v>
      </c>
      <c r="D26" s="8" t="s">
        <v>768</v>
      </c>
      <c r="E26" s="3"/>
    </row>
    <row x14ac:dyDescent="0.25" r="27" customHeight="1" ht="18.75">
      <c r="A27" s="6" t="s">
        <v>458</v>
      </c>
      <c r="B27" s="76">
        <v>25569.042145335647</v>
      </c>
      <c r="C27" s="8" t="s">
        <v>766</v>
      </c>
      <c r="D27" s="8" t="s">
        <v>769</v>
      </c>
      <c r="E27" s="3"/>
    </row>
    <row x14ac:dyDescent="0.25" r="28" customHeight="1" ht="18.75">
      <c r="A28" s="6" t="s">
        <v>458</v>
      </c>
      <c r="B28" s="76">
        <v>25569.04214519676</v>
      </c>
      <c r="C28" s="8" t="s">
        <v>766</v>
      </c>
      <c r="D28" s="8" t="s">
        <v>770</v>
      </c>
      <c r="E28" s="3"/>
    </row>
    <row x14ac:dyDescent="0.25" r="29" customHeight="1" ht="18.75">
      <c r="A29" s="6" t="s">
        <v>454</v>
      </c>
      <c r="B29" s="76">
        <v>25569.04214516204</v>
      </c>
      <c r="C29" s="8" t="s">
        <v>766</v>
      </c>
      <c r="D29" s="8" t="s">
        <v>771</v>
      </c>
      <c r="E29" s="3"/>
    </row>
    <row x14ac:dyDescent="0.25" r="30" customHeight="1" ht="18.75">
      <c r="A30" s="6" t="s">
        <v>454</v>
      </c>
      <c r="B30" s="76">
        <v>25569.042145046296</v>
      </c>
      <c r="C30" s="8" t="s">
        <v>766</v>
      </c>
      <c r="D30" s="8" t="s">
        <v>772</v>
      </c>
      <c r="E30" s="3"/>
    </row>
    <row x14ac:dyDescent="0.25" r="31" customHeight="1" ht="18.75">
      <c r="A31" s="6" t="s">
        <v>265</v>
      </c>
      <c r="B31" s="76">
        <v>25569.042143449075</v>
      </c>
      <c r="C31" s="8" t="s">
        <v>766</v>
      </c>
      <c r="D31" s="8" t="s">
        <v>773</v>
      </c>
      <c r="E31" s="3"/>
    </row>
    <row x14ac:dyDescent="0.25" r="32" customHeight="1" ht="18.75">
      <c r="A32" s="6" t="s">
        <v>265</v>
      </c>
      <c r="B32" s="76">
        <v>25569.04214334491</v>
      </c>
      <c r="C32" s="8" t="s">
        <v>766</v>
      </c>
      <c r="D32" s="8" t="s">
        <v>774</v>
      </c>
      <c r="E32" s="3"/>
    </row>
    <row x14ac:dyDescent="0.25" r="33" customHeight="1" ht="18.75">
      <c r="A33" s="6" t="s">
        <v>258</v>
      </c>
      <c r="B33" s="76">
        <v>25569.04214290509</v>
      </c>
      <c r="C33" s="8" t="s">
        <v>766</v>
      </c>
      <c r="D33" s="8" t="s">
        <v>775</v>
      </c>
      <c r="E33" s="3"/>
    </row>
    <row x14ac:dyDescent="0.25" r="34" customHeight="1" ht="18.75">
      <c r="A34" s="6" t="s">
        <v>253</v>
      </c>
      <c r="B34" s="76">
        <v>25569.042142777776</v>
      </c>
      <c r="C34" s="8" t="s">
        <v>766</v>
      </c>
      <c r="D34" s="77" t="s">
        <v>776</v>
      </c>
      <c r="E34" s="3"/>
    </row>
    <row x14ac:dyDescent="0.25" r="35" customHeight="1" ht="18.75">
      <c r="A35" s="6" t="s">
        <v>777</v>
      </c>
      <c r="B35" s="76">
        <v>25569.04214269676</v>
      </c>
      <c r="C35" s="8" t="s">
        <v>766</v>
      </c>
      <c r="D35" s="8" t="s">
        <v>778</v>
      </c>
      <c r="E35" s="3"/>
    </row>
    <row x14ac:dyDescent="0.25" r="36" customHeight="1" ht="18.75">
      <c r="A36" s="6" t="s">
        <v>777</v>
      </c>
      <c r="B36" s="76">
        <v>25569.042142372684</v>
      </c>
      <c r="C36" s="8" t="s">
        <v>766</v>
      </c>
      <c r="D36" s="8" t="s">
        <v>779</v>
      </c>
      <c r="E36" s="3"/>
    </row>
    <row x14ac:dyDescent="0.25" r="37" customHeight="1" ht="18.75">
      <c r="A37" s="6" t="s">
        <v>780</v>
      </c>
      <c r="B37" s="76">
        <v>25569.04214222222</v>
      </c>
      <c r="C37" s="8" t="s">
        <v>766</v>
      </c>
      <c r="D37" s="8" t="s">
        <v>781</v>
      </c>
      <c r="E37" s="3"/>
    </row>
    <row x14ac:dyDescent="0.25" r="38" customHeight="1" ht="18.75">
      <c r="A38" s="6" t="s">
        <v>782</v>
      </c>
      <c r="B38" s="76">
        <v>25569.042139930556</v>
      </c>
      <c r="C38" s="8" t="s">
        <v>783</v>
      </c>
      <c r="D38" s="8" t="s">
        <v>784</v>
      </c>
      <c r="E38" s="3"/>
    </row>
    <row x14ac:dyDescent="0.25" r="39" customHeight="1" ht="18.75">
      <c r="A39" s="78" t="s">
        <v>785</v>
      </c>
      <c r="B39" s="79"/>
      <c r="C39" s="80"/>
      <c r="D39" s="80"/>
      <c r="E39" s="3"/>
    </row>
    <row x14ac:dyDescent="0.25" r="40" customHeight="1" ht="18.75">
      <c r="A40" s="57"/>
      <c r="B40" s="58"/>
      <c r="C40" s="59"/>
      <c r="D40" s="3"/>
      <c r="E40" s="3"/>
    </row>
    <row x14ac:dyDescent="0.25" r="41" customHeight="1" ht="18.75">
      <c r="A41" s="57"/>
      <c r="B41" s="58"/>
      <c r="C41" s="59"/>
      <c r="D41" s="3"/>
      <c r="E41" s="3"/>
    </row>
    <row x14ac:dyDescent="0.25" r="42" customHeight="1" ht="18.75">
      <c r="A42" s="64" t="s">
        <v>786</v>
      </c>
      <c r="B42" s="65" t="s">
        <v>787</v>
      </c>
      <c r="C42" s="66"/>
      <c r="D42" s="66"/>
      <c r="E42" s="3"/>
    </row>
    <row x14ac:dyDescent="0.25" r="43" customHeight="1" ht="18.75">
      <c r="A43" s="57"/>
      <c r="B43" s="58"/>
      <c r="C43" s="59"/>
      <c r="D43" s="3"/>
      <c r="E43" s="3"/>
    </row>
    <row x14ac:dyDescent="0.25" r="44" customHeight="1" ht="18.75">
      <c r="A44" s="57"/>
      <c r="B44" s="58"/>
      <c r="C44" s="59"/>
      <c r="D44" s="3"/>
      <c r="E44" s="3"/>
    </row>
    <row x14ac:dyDescent="0.25" r="45" customHeight="1" ht="18.75">
      <c r="A45" s="81" t="s">
        <v>788</v>
      </c>
      <c r="B45" s="65"/>
      <c r="C45" s="66"/>
      <c r="D45" s="66"/>
      <c r="E45" s="3"/>
    </row>
    <row x14ac:dyDescent="0.25" r="46" customHeight="1" ht="18.75">
      <c r="A46" s="82" t="s">
        <v>737</v>
      </c>
      <c r="B46" s="76" t="s">
        <v>789</v>
      </c>
      <c r="C46" s="8"/>
      <c r="D46" s="8"/>
      <c r="E46" s="3"/>
    </row>
    <row x14ac:dyDescent="0.25" r="47" customHeight="1" ht="18.75">
      <c r="A47" s="49" t="s">
        <v>790</v>
      </c>
      <c r="B47" s="76" t="s">
        <v>791</v>
      </c>
      <c r="C47" s="8"/>
      <c r="D47" s="8"/>
      <c r="E47" s="3"/>
    </row>
    <row x14ac:dyDescent="0.25" r="48" customHeight="1" ht="18.75">
      <c r="A48" s="83">
        <f>A47 &amp; "/h"</f>
      </c>
      <c r="B48" s="76" t="s">
        <v>792</v>
      </c>
      <c r="C48" s="8"/>
      <c r="D48" s="8"/>
      <c r="E48" s="3"/>
    </row>
    <row x14ac:dyDescent="0.25" r="49" customHeight="1" ht="18.75">
      <c r="A49" s="84"/>
      <c r="B49" s="85"/>
      <c r="C49" s="86"/>
      <c r="D49" s="86"/>
      <c r="E49" s="3"/>
    </row>
    <row x14ac:dyDescent="0.25" r="50" customHeight="1" ht="18.75">
      <c r="A50" s="87"/>
      <c r="B50" s="88"/>
      <c r="C50" s="89"/>
      <c r="D50" s="89"/>
      <c r="E50" s="3"/>
    </row>
    <row x14ac:dyDescent="0.25" r="51" customHeight="1" ht="18.75">
      <c r="A51" s="81" t="s">
        <v>793</v>
      </c>
      <c r="B51" s="65"/>
      <c r="C51" s="66"/>
      <c r="D51" s="66"/>
      <c r="E51" s="3"/>
    </row>
    <row x14ac:dyDescent="0.25" r="52" customHeight="1" ht="18.75">
      <c r="A52" s="90"/>
      <c r="B52" s="91"/>
      <c r="C52" s="7"/>
      <c r="D52" s="7"/>
      <c r="E52" s="3"/>
    </row>
    <row x14ac:dyDescent="0.25" r="53" customHeight="1" ht="18.75">
      <c r="A53" s="92">
        <f>Size_of_Review_Object</f>
      </c>
      <c r="B53" s="91" t="s">
        <v>388</v>
      </c>
      <c r="C53" s="7"/>
      <c r="D53" s="8"/>
      <c r="E53" s="3"/>
    </row>
    <row x14ac:dyDescent="0.25" r="54" customHeight="1" ht="18.75">
      <c r="A54" s="90"/>
      <c r="B54" s="91"/>
      <c r="C54" s="8"/>
      <c r="D54" s="8"/>
      <c r="E54" s="3"/>
    </row>
    <row x14ac:dyDescent="0.25" r="55" customHeight="1" ht="18.75">
      <c r="A55" s="84"/>
      <c r="B55" s="85"/>
      <c r="C55" s="86"/>
      <c r="D55" s="86"/>
      <c r="E55" s="3"/>
    </row>
    <row x14ac:dyDescent="0.25" r="56" customHeight="1" ht="18.75">
      <c r="A56" s="87"/>
      <c r="B56" s="88"/>
      <c r="C56" s="89"/>
      <c r="D56" s="89"/>
      <c r="E56" s="3"/>
    </row>
    <row x14ac:dyDescent="0.25" r="57" customHeight="1" ht="18.75">
      <c r="A57" s="81" t="s">
        <v>794</v>
      </c>
      <c r="B57" s="65"/>
      <c r="C57" s="66"/>
      <c r="D57" s="66"/>
      <c r="E57" s="3"/>
    </row>
    <row x14ac:dyDescent="0.25" r="58" customHeight="1" ht="18.75">
      <c r="A58" s="71" t="s">
        <v>695</v>
      </c>
      <c r="B58" s="72" t="s">
        <v>761</v>
      </c>
      <c r="C58" s="73" t="s">
        <v>795</v>
      </c>
      <c r="D58" s="73" t="s">
        <v>698</v>
      </c>
      <c r="E58" s="3"/>
    </row>
    <row x14ac:dyDescent="0.25" r="59" customHeight="1" ht="18.75">
      <c r="A59" s="11">
        <v>1</v>
      </c>
      <c r="B59" s="76">
        <v>25569.04214513889</v>
      </c>
      <c r="C59" s="8" t="s">
        <v>766</v>
      </c>
      <c r="D59" s="8" t="s">
        <v>796</v>
      </c>
      <c r="E59" s="3"/>
    </row>
    <row x14ac:dyDescent="0.25" r="60" customHeight="1" ht="18.75">
      <c r="A60" s="11">
        <v>2</v>
      </c>
      <c r="B60" s="76">
        <v>25569.04214513889</v>
      </c>
      <c r="C60" s="8" t="s">
        <v>766</v>
      </c>
      <c r="D60" s="8" t="s">
        <v>797</v>
      </c>
      <c r="E60" s="3"/>
    </row>
    <row x14ac:dyDescent="0.25" r="61" customHeight="1" ht="18.75">
      <c r="A61" s="11">
        <v>3</v>
      </c>
      <c r="B61" s="76">
        <v>25569.04214513889</v>
      </c>
      <c r="C61" s="8" t="s">
        <v>766</v>
      </c>
      <c r="D61" s="8" t="s">
        <v>798</v>
      </c>
      <c r="E61" s="3"/>
    </row>
    <row x14ac:dyDescent="0.25" r="62" customHeight="1" ht="18.75">
      <c r="A62" s="11">
        <v>4</v>
      </c>
      <c r="B62" s="76">
        <v>25569.04214513889</v>
      </c>
      <c r="C62" s="8" t="s">
        <v>766</v>
      </c>
      <c r="D62" s="8" t="s">
        <v>799</v>
      </c>
      <c r="E62" s="3"/>
    </row>
    <row x14ac:dyDescent="0.25" r="63" customHeight="1" ht="18.75">
      <c r="A63" s="11">
        <v>5</v>
      </c>
      <c r="B63" s="76">
        <v>25569.04214513889</v>
      </c>
      <c r="C63" s="8" t="s">
        <v>766</v>
      </c>
      <c r="D63" s="8" t="s">
        <v>800</v>
      </c>
      <c r="E63" s="3"/>
    </row>
    <row x14ac:dyDescent="0.25" r="64" customHeight="1" ht="18.75">
      <c r="A64" s="11">
        <v>6</v>
      </c>
      <c r="B64" s="76">
        <v>25569.04214513889</v>
      </c>
      <c r="C64" s="8" t="s">
        <v>766</v>
      </c>
      <c r="D64" s="8" t="s">
        <v>801</v>
      </c>
      <c r="E64" s="3"/>
    </row>
    <row x14ac:dyDescent="0.25" r="65" customHeight="1" ht="18.75">
      <c r="A65" s="11">
        <v>7</v>
      </c>
      <c r="B65" s="76">
        <v>25569.04214513889</v>
      </c>
      <c r="C65" s="8" t="s">
        <v>766</v>
      </c>
      <c r="D65" s="8" t="s">
        <v>802</v>
      </c>
      <c r="E65" s="3"/>
    </row>
    <row x14ac:dyDescent="0.25" r="66" customHeight="1" ht="18.75">
      <c r="A66" s="11">
        <v>8</v>
      </c>
      <c r="B66" s="76">
        <v>25569.042150590278</v>
      </c>
      <c r="C66" s="8" t="s">
        <v>763</v>
      </c>
      <c r="D66" s="8" t="s">
        <v>803</v>
      </c>
      <c r="E66" s="3"/>
    </row>
    <row x14ac:dyDescent="0.25" r="67" customHeight="1" ht="18.75">
      <c r="A67" s="11">
        <v>9</v>
      </c>
      <c r="B67" s="76"/>
      <c r="C67" s="8"/>
      <c r="D67" s="8"/>
      <c r="E67" s="3"/>
    </row>
    <row x14ac:dyDescent="0.25" r="68" customHeight="1" ht="18.75">
      <c r="A68" s="11">
        <v>10</v>
      </c>
      <c r="B68" s="76"/>
      <c r="C68" s="8"/>
      <c r="D68" s="8"/>
      <c r="E68" s="3"/>
    </row>
    <row x14ac:dyDescent="0.25" r="69" customHeight="1" ht="18.75">
      <c r="A69" s="84"/>
      <c r="B69" s="85"/>
      <c r="C69" s="86"/>
      <c r="D69" s="86"/>
      <c r="E69" s="3"/>
    </row>
  </sheetData>
  <mergeCells count="29">
    <mergeCell ref="B4:D4"/>
    <mergeCell ref="B5:D5"/>
    <mergeCell ref="B6:D6"/>
    <mergeCell ref="B7:D7"/>
    <mergeCell ref="A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B20:D20"/>
    <mergeCell ref="A39:D39"/>
    <mergeCell ref="B42:D42"/>
    <mergeCell ref="A45:D45"/>
    <mergeCell ref="B46:D46"/>
    <mergeCell ref="B47:D47"/>
    <mergeCell ref="B48:D48"/>
    <mergeCell ref="A51:D51"/>
    <mergeCell ref="B52:D52"/>
    <mergeCell ref="A57:D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P42"/>
  <sheetViews>
    <sheetView workbookViewId="0" tabSelected="1"/>
  </sheetViews>
  <sheetFormatPr defaultRowHeight="15" x14ac:dyDescent="0.25"/>
  <cols>
    <col min="1" max="1" style="19" width="25.719285714285714" customWidth="1" bestFit="1"/>
    <col min="2" max="2" style="56" width="52.005" customWidth="1" bestFit="1"/>
    <col min="3" max="3" style="19" width="10.005" customWidth="1" bestFit="1"/>
    <col min="4" max="4" style="19" width="13.576428571428572" customWidth="1" bestFit="1"/>
    <col min="5" max="5" style="19" width="13.576428571428572" customWidth="1" bestFit="1"/>
    <col min="6" max="6" style="19" width="13.576428571428572" customWidth="1" bestFit="1"/>
    <col min="7" max="7" style="19" width="13.576428571428572" customWidth="1" bestFit="1"/>
    <col min="8" max="8" style="19" width="13.576428571428572" customWidth="1" bestFit="1"/>
    <col min="9" max="9" style="19" width="13.576428571428572" customWidth="1" bestFit="1"/>
    <col min="10" max="10" style="19" width="13.576428571428572" customWidth="1" bestFit="1"/>
    <col min="11" max="11" style="19" width="13.576428571428572" customWidth="1" bestFit="1"/>
    <col min="12" max="12" style="19" width="13.576428571428572" customWidth="1" bestFit="1"/>
    <col min="13" max="13" style="19" width="13.576428571428572" customWidth="1" bestFit="1"/>
    <col min="14" max="14" style="19" width="13.576428571428572" customWidth="1" bestFit="1"/>
    <col min="15" max="15" style="19" width="13.576428571428572" customWidth="1" bestFit="1"/>
    <col min="16" max="16" style="19" width="13.576428571428572" customWidth="1" bestFit="1"/>
    <col min="17" max="17" style="19" width="13.576428571428572" customWidth="1" bestFit="1"/>
    <col min="18" max="18" style="19" width="13.576428571428572" customWidth="1" bestFit="1"/>
    <col min="19" max="19" style="19" width="13.576428571428572" customWidth="1" bestFit="1"/>
    <col min="20" max="20" style="19" width="13.576428571428572" customWidth="1" bestFit="1"/>
    <col min="21" max="21" style="19" width="13.576428571428572" customWidth="1" bestFit="1"/>
    <col min="22" max="22" style="19" width="13.576428571428572" customWidth="1" bestFit="1"/>
    <col min="23" max="23" style="19" width="13.576428571428572" customWidth="1" bestFit="1"/>
    <col min="24" max="24" style="19" width="13.576428571428572" customWidth="1" bestFit="1"/>
    <col min="25" max="25" style="19" width="13.576428571428572" customWidth="1" bestFit="1"/>
    <col min="26" max="26" style="19" width="13.576428571428572" customWidth="1" bestFit="1"/>
    <col min="27" max="27" style="19" width="13.576428571428572" customWidth="1" bestFit="1"/>
    <col min="28" max="28" style="19" width="13.576428571428572" customWidth="1" bestFit="1"/>
    <col min="29" max="29" style="19" width="13.576428571428572" customWidth="1" bestFit="1"/>
    <col min="30" max="30" style="19" width="13.576428571428572" customWidth="1" bestFit="1"/>
    <col min="31" max="31" style="19" width="13.576428571428572" customWidth="1" bestFit="1"/>
    <col min="32" max="32" style="19" width="13.576428571428572" customWidth="1" bestFit="1"/>
    <col min="33" max="33" style="19" width="13.576428571428572" customWidth="1" bestFit="1"/>
    <col min="34" max="34" style="19" width="13.576428571428572" customWidth="1" bestFit="1"/>
    <col min="35" max="35" style="19" width="13.576428571428572" customWidth="1" bestFit="1"/>
    <col min="36" max="36" style="19" width="13.576428571428572" customWidth="1" bestFit="1"/>
    <col min="37" max="37" style="19" width="13.576428571428572" customWidth="1" bestFit="1"/>
    <col min="38" max="38" style="19" width="13.576428571428572" customWidth="1" bestFit="1"/>
    <col min="39" max="39" style="19" width="13.576428571428572" customWidth="1" bestFit="1"/>
    <col min="40" max="40" style="19" width="13.576428571428572" customWidth="1" bestFit="1"/>
    <col min="41" max="41" style="19" width="13.576428571428572" customWidth="1" bestFit="1"/>
    <col min="42" max="42" style="19" width="13.576428571428572" customWidth="1" bestFit="1"/>
    <col min="43" max="43" style="19" width="13.576428571428572" customWidth="1" bestFit="1"/>
    <col min="44" max="44" style="19" width="13.576428571428572" customWidth="1" bestFit="1"/>
    <col min="45" max="45" style="19" width="13.576428571428572" customWidth="1" bestFit="1"/>
    <col min="46" max="46" style="19" width="13.576428571428572" customWidth="1" bestFit="1"/>
    <col min="47" max="47" style="19" width="13.576428571428572" customWidth="1" bestFit="1"/>
    <col min="48" max="48" style="19" width="13.576428571428572" customWidth="1" bestFit="1"/>
    <col min="49" max="49" style="19" width="13.576428571428572" customWidth="1" bestFit="1"/>
    <col min="50" max="50" style="19" width="13.576428571428572" customWidth="1" bestFit="1"/>
    <col min="51" max="51" style="19" width="13.576428571428572" customWidth="1" bestFit="1"/>
    <col min="52" max="52" style="19" width="13.576428571428572" customWidth="1" bestFit="1"/>
    <col min="53" max="53" style="19" width="13.576428571428572" customWidth="1" bestFit="1"/>
    <col min="54" max="54" style="19" width="13.576428571428572" customWidth="1" bestFit="1"/>
    <col min="55" max="55" style="19" width="13.576428571428572" customWidth="1" bestFit="1"/>
    <col min="56" max="56" style="19" width="13.576428571428572" customWidth="1" bestFit="1"/>
    <col min="57" max="57" style="19" width="13.576428571428572" customWidth="1" bestFit="1"/>
    <col min="58" max="58" style="19" width="13.576428571428572" customWidth="1" bestFit="1"/>
    <col min="59" max="59" style="19" width="13.576428571428572" customWidth="1" bestFit="1"/>
    <col min="60" max="60" style="19" width="13.576428571428572" customWidth="1" bestFit="1"/>
    <col min="61" max="61" style="19" width="13.576428571428572" customWidth="1" bestFit="1"/>
    <col min="62" max="62" style="19" width="13.576428571428572" customWidth="1" bestFit="1"/>
    <col min="63" max="63" style="19" width="13.576428571428572" customWidth="1" bestFit="1"/>
    <col min="64" max="64" style="19" width="13.576428571428572" customWidth="1" bestFit="1"/>
    <col min="65" max="65" style="19" width="13.576428571428572" customWidth="1" bestFit="1"/>
    <col min="66" max="66" style="19" width="13.576428571428572" customWidth="1" bestFit="1"/>
    <col min="67" max="67" style="19" width="13.576428571428572" customWidth="1" bestFit="1"/>
    <col min="68" max="68" style="19" width="13.576428571428572" customWidth="1" bestFit="1"/>
  </cols>
  <sheetData>
    <row x14ac:dyDescent="0.25" r="1" customHeight="1" ht="18.75">
      <c r="A1" s="3"/>
      <c r="B1" s="37"/>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x14ac:dyDescent="0.25" r="2" customHeight="1" ht="18.75">
      <c r="A2" s="38" t="s">
        <v>725</v>
      </c>
      <c r="B2" s="39"/>
      <c r="C2" s="40"/>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x14ac:dyDescent="0.25" r="3" customHeight="1" ht="18.75">
      <c r="A3" s="41" t="s">
        <v>726</v>
      </c>
      <c r="B3" s="42">
        <v>1</v>
      </c>
      <c r="C3" s="4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x14ac:dyDescent="0.25" r="4" customHeight="1" ht="18.75">
      <c r="A4" s="22" t="s">
        <v>672</v>
      </c>
      <c r="B4" s="44" t="s">
        <v>727</v>
      </c>
      <c r="C4" s="4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x14ac:dyDescent="0.25" r="5" customHeight="1" ht="18.75">
      <c r="A5" s="22" t="s">
        <v>728</v>
      </c>
      <c r="B5" s="44"/>
      <c r="C5" s="4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x14ac:dyDescent="0.25" r="6" customHeight="1" ht="18.75">
      <c r="A6" s="22" t="s">
        <v>729</v>
      </c>
      <c r="B6" s="44"/>
      <c r="C6" s="4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x14ac:dyDescent="0.25" r="7" customHeight="1" ht="18.75">
      <c r="A7" s="22" t="s">
        <v>673</v>
      </c>
      <c r="B7" s="44"/>
      <c r="C7" s="4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row>
    <row x14ac:dyDescent="0.25" r="8" customHeight="1" ht="18.75">
      <c r="A8" s="45" t="s">
        <v>730</v>
      </c>
      <c r="B8" s="44"/>
      <c r="C8" s="4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row>
    <row x14ac:dyDescent="0.25" r="9" customHeight="1" ht="18.75">
      <c r="A9" s="27" t="s">
        <v>674</v>
      </c>
      <c r="B9" s="46"/>
      <c r="C9" s="47" t="s">
        <v>731</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x14ac:dyDescent="0.25" r="10" customHeight="1" ht="18.75">
      <c r="A10" s="22" t="s">
        <v>675</v>
      </c>
      <c r="B10" s="48"/>
      <c r="C10" s="49"/>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row>
    <row x14ac:dyDescent="0.25" r="11" customHeight="1" ht="18.75">
      <c r="A11" s="22" t="s">
        <v>676</v>
      </c>
      <c r="B11" s="48"/>
      <c r="C11" s="49"/>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row>
    <row x14ac:dyDescent="0.25" r="12" customHeight="1" ht="18.75">
      <c r="A12" s="22" t="s">
        <v>677</v>
      </c>
      <c r="B12" s="48"/>
      <c r="C12" s="49"/>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row>
    <row x14ac:dyDescent="0.25" r="13" customHeight="1" ht="18.75">
      <c r="A13" s="27" t="s">
        <v>732</v>
      </c>
      <c r="B13" s="46"/>
      <c r="C13" s="50"/>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row>
    <row x14ac:dyDescent="0.25" r="14" customHeight="1" ht="18.75">
      <c r="A14" s="22" t="s">
        <v>675</v>
      </c>
      <c r="B14" s="48"/>
      <c r="C14" s="49"/>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row>
    <row x14ac:dyDescent="0.25" r="15" customHeight="1" ht="18.75">
      <c r="A15" s="22" t="s">
        <v>676</v>
      </c>
      <c r="B15" s="48"/>
      <c r="C15" s="49"/>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row>
    <row x14ac:dyDescent="0.25" r="16" customHeight="1" ht="18.75">
      <c r="A16" s="22" t="s">
        <v>677</v>
      </c>
      <c r="B16" s="48"/>
      <c r="C16" s="49"/>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row>
    <row x14ac:dyDescent="0.25" r="17" customHeight="1" ht="18.75">
      <c r="A17" s="27" t="s">
        <v>733</v>
      </c>
      <c r="B17" s="46"/>
      <c r="C17" s="50"/>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row>
    <row x14ac:dyDescent="0.25" r="18" customHeight="1" ht="18.75">
      <c r="A18" s="22" t="s">
        <v>675</v>
      </c>
      <c r="B18" s="48"/>
      <c r="C18" s="49"/>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row>
    <row x14ac:dyDescent="0.25" r="19" customHeight="1" ht="18.75">
      <c r="A19" s="22" t="s">
        <v>676</v>
      </c>
      <c r="B19" s="48"/>
      <c r="C19" s="49"/>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row>
    <row x14ac:dyDescent="0.25" r="20" customHeight="1" ht="18.75">
      <c r="A20" s="27" t="s">
        <v>682</v>
      </c>
      <c r="B20" s="51" t="s">
        <v>683</v>
      </c>
      <c r="C20" s="47" t="s">
        <v>731</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row>
    <row x14ac:dyDescent="0.25" r="21" customHeight="1" ht="18.75">
      <c r="A21" s="22" t="s">
        <v>675</v>
      </c>
      <c r="B21" s="48"/>
      <c r="C21" s="49"/>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row>
    <row x14ac:dyDescent="0.25" r="22" customHeight="1" ht="18.75">
      <c r="A22" s="22" t="s">
        <v>676</v>
      </c>
      <c r="B22" s="48"/>
      <c r="C22" s="49"/>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row>
    <row x14ac:dyDescent="0.25" r="23" customHeight="1" ht="18.75">
      <c r="A23" s="22" t="s">
        <v>677</v>
      </c>
      <c r="B23" s="48"/>
      <c r="C23" s="49"/>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row>
    <row x14ac:dyDescent="0.25" r="24" customHeight="1" ht="18.75">
      <c r="A24" s="22" t="s">
        <v>684</v>
      </c>
      <c r="B24" s="48"/>
      <c r="C24" s="49"/>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row>
    <row x14ac:dyDescent="0.25" r="25" customHeight="1" ht="18.75">
      <c r="A25" s="22" t="s">
        <v>685</v>
      </c>
      <c r="B25" s="48"/>
      <c r="C25" s="49"/>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row>
    <row x14ac:dyDescent="0.25" r="26" customHeight="1" ht="18.75">
      <c r="A26" s="22" t="s">
        <v>686</v>
      </c>
      <c r="B26" s="48"/>
      <c r="C26" s="49"/>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row>
    <row x14ac:dyDescent="0.25" r="27" customHeight="1" ht="18.75">
      <c r="A27" s="22" t="s">
        <v>687</v>
      </c>
      <c r="B27" s="48"/>
      <c r="C27" s="49"/>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row>
    <row x14ac:dyDescent="0.25" r="28" customHeight="1" ht="18.75">
      <c r="A28" s="22" t="s">
        <v>688</v>
      </c>
      <c r="B28" s="48"/>
      <c r="C28" s="49"/>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row>
    <row x14ac:dyDescent="0.25" r="29" customHeight="1" ht="18.75">
      <c r="A29" s="22" t="s">
        <v>689</v>
      </c>
      <c r="B29" s="48"/>
      <c r="C29" s="49"/>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row>
    <row x14ac:dyDescent="0.25" r="30" customHeight="1" ht="18.75">
      <c r="A30" s="22" t="s">
        <v>690</v>
      </c>
      <c r="B30" s="48"/>
      <c r="C30" s="49"/>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row>
    <row x14ac:dyDescent="0.25" r="31" customHeight="1" ht="18.75">
      <c r="A31" s="27" t="s">
        <v>734</v>
      </c>
      <c r="B31" s="51" t="s">
        <v>735</v>
      </c>
      <c r="C31" s="50"/>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row>
    <row x14ac:dyDescent="0.25" r="32" customHeight="1" ht="18.75">
      <c r="A32" s="22"/>
      <c r="B32" s="48"/>
      <c r="C32" s="29"/>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row>
    <row x14ac:dyDescent="0.25" r="33" customHeight="1" ht="18.75">
      <c r="A33" s="27" t="s">
        <v>736</v>
      </c>
      <c r="B33" s="46"/>
      <c r="C33" s="47" t="s">
        <v>737</v>
      </c>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row>
    <row x14ac:dyDescent="0.25" r="34" customHeight="1" ht="18.75">
      <c r="A34" s="22" t="s">
        <v>738</v>
      </c>
      <c r="B34" s="48"/>
      <c r="C34" s="52"/>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row>
    <row x14ac:dyDescent="0.25" r="35" customHeight="1" ht="18.75">
      <c r="A35" s="22" t="s">
        <v>739</v>
      </c>
      <c r="B35" s="53"/>
      <c r="C35" s="52" t="s">
        <v>740</v>
      </c>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row>
    <row x14ac:dyDescent="0.25" r="36" customHeight="1" ht="18.75">
      <c r="A36" s="22" t="s">
        <v>741</v>
      </c>
      <c r="B36" s="53"/>
      <c r="C36" s="54">
        <f>Size_Unit &amp; "/h"</f>
      </c>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row>
    <row x14ac:dyDescent="0.25" r="37" customHeight="1" ht="18.75">
      <c r="A37" s="22" t="s">
        <v>742</v>
      </c>
      <c r="B37" s="55">
        <f>IF(B36=0,0,B35/B36)</f>
      </c>
      <c r="C37" s="54">
        <f>"h"</f>
      </c>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row>
    <row x14ac:dyDescent="0.25" r="38" customHeight="1" ht="18.75">
      <c r="A38" s="27" t="s">
        <v>743</v>
      </c>
      <c r="B38" s="51" t="s">
        <v>735</v>
      </c>
      <c r="C38" s="28"/>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row>
    <row x14ac:dyDescent="0.25" r="39" customHeight="1" ht="18.75">
      <c r="A39" s="22"/>
      <c r="B39" s="48"/>
      <c r="C39" s="29"/>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row>
    <row x14ac:dyDescent="0.25" r="40" customHeight="1" ht="18.75">
      <c r="A40" s="27" t="s">
        <v>744</v>
      </c>
      <c r="B40" s="46"/>
      <c r="C40" s="28"/>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row>
    <row x14ac:dyDescent="0.25" r="41" customHeight="1" ht="18.75">
      <c r="A41" s="29"/>
      <c r="B41" s="48"/>
      <c r="C41" s="29"/>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row>
    <row x14ac:dyDescent="0.25" r="42" customHeight="1" ht="18.75">
      <c r="A42" s="3"/>
      <c r="B42" s="3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row>
  </sheetData>
  <mergeCells count="3">
    <mergeCell ref="B32:C32"/>
    <mergeCell ref="B39:C39"/>
    <mergeCell ref="A41:C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830"/>
  <sheetViews>
    <sheetView workbookViewId="0">
      <pane state="frozen" activePane="bottomLeft" topLeftCell="A4" ySplit="3" xSplit="0"/>
    </sheetView>
  </sheetViews>
  <sheetFormatPr defaultRowHeight="15" x14ac:dyDescent="0.25"/>
  <cols>
    <col min="1" max="1" style="18" width="4.433571428571429" customWidth="1" bestFit="1"/>
    <col min="2" max="2" style="36" width="8.43357142857143" customWidth="1" bestFit="1"/>
    <col min="3" max="3" style="19" width="12.147857142857141" customWidth="1" bestFit="1"/>
    <col min="4" max="4" style="19" width="39.005" customWidth="1" bestFit="1"/>
    <col min="5" max="5" style="19" width="10.43357142857143" customWidth="1" bestFit="1"/>
    <col min="6" max="6" style="19" width="9.290714285714287" customWidth="1" bestFit="1"/>
    <col min="7" max="7" style="19" width="9.147857142857141" customWidth="1" bestFit="1"/>
    <col min="8" max="8" style="19" width="25.719285714285714" customWidth="1" bestFit="1"/>
    <col min="9" max="9" style="19" width="9.43357142857143" customWidth="1" bestFit="1"/>
    <col min="10" max="10" style="19" width="10.719285714285713" customWidth="1" bestFit="1"/>
  </cols>
  <sheetData>
    <row x14ac:dyDescent="0.25" r="1" customHeight="1" ht="18.75">
      <c r="A1" s="31" t="s">
        <v>692</v>
      </c>
      <c r="B1" s="32"/>
      <c r="C1" s="32"/>
      <c r="D1" s="32"/>
      <c r="E1" s="32"/>
      <c r="F1" s="32"/>
      <c r="G1" s="32"/>
      <c r="H1" s="32"/>
      <c r="I1" s="32"/>
      <c r="J1" s="32"/>
    </row>
    <row x14ac:dyDescent="0.25" r="2" customHeight="1" ht="18.75">
      <c r="A2" s="33" t="s">
        <v>693</v>
      </c>
      <c r="B2" s="34"/>
      <c r="C2" s="34"/>
      <c r="D2" s="34"/>
      <c r="E2" s="34"/>
      <c r="F2" s="34"/>
      <c r="G2" s="34"/>
      <c r="H2" s="34" t="s">
        <v>694</v>
      </c>
      <c r="I2" s="34"/>
      <c r="J2" s="34"/>
    </row>
    <row x14ac:dyDescent="0.25" r="3" customHeight="1" ht="18.75">
      <c r="A3" s="35" t="s">
        <v>695</v>
      </c>
      <c r="B3" s="13" t="s">
        <v>696</v>
      </c>
      <c r="C3" s="13" t="s">
        <v>697</v>
      </c>
      <c r="D3" s="13" t="s">
        <v>698</v>
      </c>
      <c r="E3" s="13" t="s">
        <v>699</v>
      </c>
      <c r="F3" s="13" t="s">
        <v>700</v>
      </c>
      <c r="G3" s="13" t="s">
        <v>701</v>
      </c>
      <c r="H3" s="13" t="s">
        <v>702</v>
      </c>
      <c r="I3" s="13" t="s">
        <v>9</v>
      </c>
      <c r="J3" s="13" t="s">
        <v>703</v>
      </c>
    </row>
    <row x14ac:dyDescent="0.25" r="4" customHeight="1" ht="18.75">
      <c r="A4" s="6" t="s">
        <v>11</v>
      </c>
      <c r="B4" s="7" t="s">
        <v>704</v>
      </c>
      <c r="C4" s="7" t="s">
        <v>705</v>
      </c>
      <c r="D4" s="8" t="s">
        <v>706</v>
      </c>
      <c r="E4" s="8" t="s">
        <v>707</v>
      </c>
      <c r="F4" s="7" t="s">
        <v>708</v>
      </c>
      <c r="G4" s="7" t="s">
        <v>339</v>
      </c>
      <c r="H4" s="8" t="s">
        <v>709</v>
      </c>
      <c r="I4" s="7" t="s">
        <v>710</v>
      </c>
      <c r="J4" s="10"/>
    </row>
    <row x14ac:dyDescent="0.25" r="5" customHeight="1" ht="18.75">
      <c r="A5" s="6" t="s">
        <v>18</v>
      </c>
      <c r="B5" s="7" t="s">
        <v>704</v>
      </c>
      <c r="C5" s="7" t="s">
        <v>711</v>
      </c>
      <c r="D5" s="8" t="s">
        <v>712</v>
      </c>
      <c r="E5" s="8" t="s">
        <v>713</v>
      </c>
      <c r="F5" s="7" t="s">
        <v>714</v>
      </c>
      <c r="G5" s="7" t="s">
        <v>339</v>
      </c>
      <c r="H5" s="8" t="s">
        <v>715</v>
      </c>
      <c r="I5" s="7" t="s">
        <v>716</v>
      </c>
      <c r="J5" s="10"/>
    </row>
    <row x14ac:dyDescent="0.25" r="6" customHeight="1" ht="18.75">
      <c r="A6" s="6" t="s">
        <v>22</v>
      </c>
      <c r="B6" s="7" t="s">
        <v>704</v>
      </c>
      <c r="C6" s="7" t="s">
        <v>717</v>
      </c>
      <c r="D6" s="8" t="s">
        <v>718</v>
      </c>
      <c r="E6" s="8"/>
      <c r="F6" s="7" t="s">
        <v>714</v>
      </c>
      <c r="G6" s="7" t="s">
        <v>339</v>
      </c>
      <c r="H6" s="8"/>
      <c r="I6" s="7"/>
      <c r="J6" s="10"/>
    </row>
    <row x14ac:dyDescent="0.25" r="7" customHeight="1" ht="18.75">
      <c r="A7" s="6" t="s">
        <v>25</v>
      </c>
      <c r="B7" s="7" t="s">
        <v>719</v>
      </c>
      <c r="C7" s="11"/>
      <c r="D7" s="8" t="s">
        <v>720</v>
      </c>
      <c r="E7" s="8"/>
      <c r="F7" s="7" t="s">
        <v>721</v>
      </c>
      <c r="G7" s="7" t="s">
        <v>339</v>
      </c>
      <c r="H7" s="8"/>
      <c r="I7" s="7"/>
      <c r="J7" s="10"/>
    </row>
    <row x14ac:dyDescent="0.25" r="8" customHeight="1" ht="18.75">
      <c r="A8" s="6" t="s">
        <v>28</v>
      </c>
      <c r="B8" s="7" t="s">
        <v>704</v>
      </c>
      <c r="C8" s="7" t="s">
        <v>722</v>
      </c>
      <c r="D8" s="8" t="s">
        <v>723</v>
      </c>
      <c r="E8" s="8" t="s">
        <v>724</v>
      </c>
      <c r="F8" s="7" t="s">
        <v>708</v>
      </c>
      <c r="G8" s="7" t="s">
        <v>339</v>
      </c>
      <c r="H8" s="8" t="s">
        <v>709</v>
      </c>
      <c r="I8" s="7" t="s">
        <v>710</v>
      </c>
      <c r="J8" s="10"/>
    </row>
    <row x14ac:dyDescent="0.25" r="9" customHeight="1" ht="18.75">
      <c r="A9" s="6" t="s">
        <v>33</v>
      </c>
      <c r="B9" s="11"/>
      <c r="C9" s="11"/>
      <c r="D9" s="8"/>
      <c r="E9" s="8"/>
      <c r="F9" s="7"/>
      <c r="G9" s="7"/>
      <c r="H9" s="8"/>
      <c r="I9" s="7"/>
      <c r="J9" s="10"/>
    </row>
    <row x14ac:dyDescent="0.25" r="10" customHeight="1" ht="18.75">
      <c r="A10" s="6" t="s">
        <v>36</v>
      </c>
      <c r="B10" s="11"/>
      <c r="C10" s="11"/>
      <c r="D10" s="8"/>
      <c r="E10" s="8"/>
      <c r="F10" s="7"/>
      <c r="G10" s="7"/>
      <c r="H10" s="8"/>
      <c r="I10" s="7"/>
      <c r="J10" s="10"/>
    </row>
    <row x14ac:dyDescent="0.25" r="11" customHeight="1" ht="18.75">
      <c r="A11" s="6" t="s">
        <v>40</v>
      </c>
      <c r="B11" s="11"/>
      <c r="C11" s="11"/>
      <c r="D11" s="8"/>
      <c r="E11" s="8"/>
      <c r="F11" s="7"/>
      <c r="G11" s="7"/>
      <c r="H11" s="8"/>
      <c r="I11" s="7"/>
      <c r="J11" s="10"/>
    </row>
    <row x14ac:dyDescent="0.25" r="12" customHeight="1" ht="18.75">
      <c r="A12" s="6" t="s">
        <v>43</v>
      </c>
      <c r="B12" s="11"/>
      <c r="C12" s="11"/>
      <c r="D12" s="8"/>
      <c r="E12" s="8"/>
      <c r="F12" s="7"/>
      <c r="G12" s="7"/>
      <c r="H12" s="8"/>
      <c r="I12" s="7"/>
      <c r="J12" s="10"/>
    </row>
    <row x14ac:dyDescent="0.25" r="13" customHeight="1" ht="18.75">
      <c r="A13" s="6" t="s">
        <v>46</v>
      </c>
      <c r="B13" s="11"/>
      <c r="C13" s="11"/>
      <c r="D13" s="8"/>
      <c r="E13" s="8"/>
      <c r="F13" s="7"/>
      <c r="G13" s="7"/>
      <c r="H13" s="8"/>
      <c r="I13" s="7"/>
      <c r="J13" s="10"/>
    </row>
    <row x14ac:dyDescent="0.25" r="14" customHeight="1" ht="18.75">
      <c r="A14" s="6" t="s">
        <v>48</v>
      </c>
      <c r="B14" s="11"/>
      <c r="C14" s="11"/>
      <c r="D14" s="8"/>
      <c r="E14" s="8"/>
      <c r="F14" s="7"/>
      <c r="G14" s="7"/>
      <c r="H14" s="8"/>
      <c r="I14" s="7"/>
      <c r="J14" s="10"/>
    </row>
    <row x14ac:dyDescent="0.25" r="15" customHeight="1" ht="18.75">
      <c r="A15" s="6" t="s">
        <v>52</v>
      </c>
      <c r="B15" s="11"/>
      <c r="C15" s="11"/>
      <c r="D15" s="8"/>
      <c r="E15" s="8"/>
      <c r="F15" s="7"/>
      <c r="G15" s="7"/>
      <c r="H15" s="8"/>
      <c r="I15" s="7"/>
      <c r="J15" s="10"/>
    </row>
    <row x14ac:dyDescent="0.25" r="16" customHeight="1" ht="18.75">
      <c r="A16" s="6" t="s">
        <v>54</v>
      </c>
      <c r="B16" s="11"/>
      <c r="C16" s="11"/>
      <c r="D16" s="8"/>
      <c r="E16" s="8"/>
      <c r="F16" s="7"/>
      <c r="G16" s="7"/>
      <c r="H16" s="8"/>
      <c r="I16" s="7"/>
      <c r="J16" s="10"/>
    </row>
    <row x14ac:dyDescent="0.25" r="17" customHeight="1" ht="18.75">
      <c r="A17" s="6" t="s">
        <v>57</v>
      </c>
      <c r="B17" s="11"/>
      <c r="C17" s="11"/>
      <c r="D17" s="8"/>
      <c r="E17" s="8"/>
      <c r="F17" s="7"/>
      <c r="G17" s="7"/>
      <c r="H17" s="8"/>
      <c r="I17" s="7"/>
      <c r="J17" s="10"/>
    </row>
    <row x14ac:dyDescent="0.25" r="18" customHeight="1" ht="18.75">
      <c r="A18" s="6" t="s">
        <v>62</v>
      </c>
      <c r="B18" s="11"/>
      <c r="C18" s="11"/>
      <c r="D18" s="8"/>
      <c r="E18" s="8"/>
      <c r="F18" s="7"/>
      <c r="G18" s="7"/>
      <c r="H18" s="8"/>
      <c r="I18" s="7"/>
      <c r="J18" s="10"/>
    </row>
    <row x14ac:dyDescent="0.25" r="19" customHeight="1" ht="18.75">
      <c r="A19" s="6" t="s">
        <v>65</v>
      </c>
      <c r="B19" s="11"/>
      <c r="C19" s="11"/>
      <c r="D19" s="8"/>
      <c r="E19" s="8"/>
      <c r="F19" s="7"/>
      <c r="G19" s="7"/>
      <c r="H19" s="8"/>
      <c r="I19" s="7"/>
      <c r="J19" s="10"/>
    </row>
    <row x14ac:dyDescent="0.25" r="20" customHeight="1" ht="18.75">
      <c r="A20" s="6" t="s">
        <v>69</v>
      </c>
      <c r="B20" s="11"/>
      <c r="C20" s="11"/>
      <c r="D20" s="8"/>
      <c r="E20" s="8"/>
      <c r="F20" s="7"/>
      <c r="G20" s="7"/>
      <c r="H20" s="8"/>
      <c r="I20" s="7"/>
      <c r="J20" s="10"/>
    </row>
    <row x14ac:dyDescent="0.25" r="21" customHeight="1" ht="18.75">
      <c r="A21" s="6" t="s">
        <v>72</v>
      </c>
      <c r="B21" s="11"/>
      <c r="C21" s="11"/>
      <c r="D21" s="8"/>
      <c r="E21" s="8"/>
      <c r="F21" s="7"/>
      <c r="G21" s="7"/>
      <c r="H21" s="8"/>
      <c r="I21" s="7"/>
      <c r="J21" s="10"/>
    </row>
    <row x14ac:dyDescent="0.25" r="22" customHeight="1" ht="18.75">
      <c r="A22" s="6" t="s">
        <v>75</v>
      </c>
      <c r="B22" s="11"/>
      <c r="C22" s="11"/>
      <c r="D22" s="8"/>
      <c r="E22" s="8"/>
      <c r="F22" s="7"/>
      <c r="G22" s="7"/>
      <c r="H22" s="8"/>
      <c r="I22" s="7"/>
      <c r="J22" s="10"/>
    </row>
    <row x14ac:dyDescent="0.25" r="23" customHeight="1" ht="18.75">
      <c r="A23" s="6" t="s">
        <v>79</v>
      </c>
      <c r="B23" s="11"/>
      <c r="C23" s="11"/>
      <c r="D23" s="8"/>
      <c r="E23" s="8"/>
      <c r="F23" s="7"/>
      <c r="G23" s="7"/>
      <c r="H23" s="8"/>
      <c r="I23" s="7"/>
      <c r="J23" s="10"/>
    </row>
    <row x14ac:dyDescent="0.25" r="24" customHeight="1" ht="18.75">
      <c r="A24" s="6" t="s">
        <v>83</v>
      </c>
      <c r="B24" s="11"/>
      <c r="C24" s="11"/>
      <c r="D24" s="8"/>
      <c r="E24" s="8"/>
      <c r="F24" s="7"/>
      <c r="G24" s="7"/>
      <c r="H24" s="8"/>
      <c r="I24" s="7"/>
      <c r="J24" s="10"/>
    </row>
    <row x14ac:dyDescent="0.25" r="25" customHeight="1" ht="18.75">
      <c r="A25" s="6" t="s">
        <v>86</v>
      </c>
      <c r="B25" s="11"/>
      <c r="C25" s="11"/>
      <c r="D25" s="8"/>
      <c r="E25" s="8"/>
      <c r="F25" s="7"/>
      <c r="G25" s="7"/>
      <c r="H25" s="8"/>
      <c r="I25" s="7"/>
      <c r="J25" s="10"/>
    </row>
    <row x14ac:dyDescent="0.25" r="26" customHeight="1" ht="18.75">
      <c r="A26" s="6" t="s">
        <v>89</v>
      </c>
      <c r="B26" s="11"/>
      <c r="C26" s="11"/>
      <c r="D26" s="8"/>
      <c r="E26" s="8"/>
      <c r="F26" s="7"/>
      <c r="G26" s="7"/>
      <c r="H26" s="8"/>
      <c r="I26" s="7"/>
      <c r="J26" s="10"/>
    </row>
    <row x14ac:dyDescent="0.25" r="27" customHeight="1" ht="18.75">
      <c r="A27" s="6" t="s">
        <v>92</v>
      </c>
      <c r="B27" s="11"/>
      <c r="C27" s="11"/>
      <c r="D27" s="8"/>
      <c r="E27" s="8"/>
      <c r="F27" s="7"/>
      <c r="G27" s="7"/>
      <c r="H27" s="8"/>
      <c r="I27" s="7"/>
      <c r="J27" s="10"/>
    </row>
    <row x14ac:dyDescent="0.25" r="28" customHeight="1" ht="18.75">
      <c r="A28" s="6" t="s">
        <v>95</v>
      </c>
      <c r="B28" s="11"/>
      <c r="C28" s="11"/>
      <c r="D28" s="8"/>
      <c r="E28" s="8"/>
      <c r="F28" s="7"/>
      <c r="G28" s="7"/>
      <c r="H28" s="8"/>
      <c r="I28" s="7"/>
      <c r="J28" s="10"/>
    </row>
    <row x14ac:dyDescent="0.25" r="29" customHeight="1" ht="18.75">
      <c r="A29" s="6" t="s">
        <v>98</v>
      </c>
      <c r="B29" s="11"/>
      <c r="C29" s="11"/>
      <c r="D29" s="8"/>
      <c r="E29" s="8"/>
      <c r="F29" s="7"/>
      <c r="G29" s="7"/>
      <c r="H29" s="8"/>
      <c r="I29" s="7"/>
      <c r="J29" s="10"/>
    </row>
    <row x14ac:dyDescent="0.25" r="30" customHeight="1" ht="18.75">
      <c r="A30" s="6" t="s">
        <v>100</v>
      </c>
      <c r="B30" s="11"/>
      <c r="C30" s="11"/>
      <c r="D30" s="8"/>
      <c r="E30" s="8"/>
      <c r="F30" s="7"/>
      <c r="G30" s="7"/>
      <c r="H30" s="8"/>
      <c r="I30" s="7"/>
      <c r="J30" s="10"/>
    </row>
    <row x14ac:dyDescent="0.25" r="31" customHeight="1" ht="18.75">
      <c r="A31" s="6" t="s">
        <v>103</v>
      </c>
      <c r="B31" s="11"/>
      <c r="C31" s="11"/>
      <c r="D31" s="8"/>
      <c r="E31" s="8"/>
      <c r="F31" s="7"/>
      <c r="G31" s="7"/>
      <c r="H31" s="8"/>
      <c r="I31" s="7"/>
      <c r="J31" s="10"/>
    </row>
    <row x14ac:dyDescent="0.25" r="32" customHeight="1" ht="18.75">
      <c r="A32" s="6" t="s">
        <v>105</v>
      </c>
      <c r="B32" s="11"/>
      <c r="C32" s="11"/>
      <c r="D32" s="8"/>
      <c r="E32" s="8"/>
      <c r="F32" s="7"/>
      <c r="G32" s="7"/>
      <c r="H32" s="8"/>
      <c r="I32" s="7"/>
      <c r="J32" s="10"/>
    </row>
    <row x14ac:dyDescent="0.25" r="33" customHeight="1" ht="18.75">
      <c r="A33" s="6" t="s">
        <v>109</v>
      </c>
      <c r="B33" s="11"/>
      <c r="C33" s="11"/>
      <c r="D33" s="8"/>
      <c r="E33" s="8"/>
      <c r="F33" s="7"/>
      <c r="G33" s="7"/>
      <c r="H33" s="8"/>
      <c r="I33" s="7"/>
      <c r="J33" s="10"/>
    </row>
    <row x14ac:dyDescent="0.25" r="34" customHeight="1" ht="18.75">
      <c r="A34" s="6" t="s">
        <v>112</v>
      </c>
      <c r="B34" s="11"/>
      <c r="C34" s="11"/>
      <c r="D34" s="8"/>
      <c r="E34" s="8"/>
      <c r="F34" s="7"/>
      <c r="G34" s="7"/>
      <c r="H34" s="8"/>
      <c r="I34" s="7"/>
      <c r="J34" s="10"/>
    </row>
    <row x14ac:dyDescent="0.25" r="35" customHeight="1" ht="18.75">
      <c r="A35" s="6" t="s">
        <v>116</v>
      </c>
      <c r="B35" s="11"/>
      <c r="C35" s="11"/>
      <c r="D35" s="8"/>
      <c r="E35" s="8"/>
      <c r="F35" s="7"/>
      <c r="G35" s="7"/>
      <c r="H35" s="8"/>
      <c r="I35" s="7"/>
      <c r="J35" s="10"/>
    </row>
    <row x14ac:dyDescent="0.25" r="36" customHeight="1" ht="18.75">
      <c r="A36" s="6" t="s">
        <v>119</v>
      </c>
      <c r="B36" s="11"/>
      <c r="C36" s="11"/>
      <c r="D36" s="8"/>
      <c r="E36" s="8"/>
      <c r="F36" s="7"/>
      <c r="G36" s="7"/>
      <c r="H36" s="8"/>
      <c r="I36" s="7"/>
      <c r="J36" s="10"/>
    </row>
    <row x14ac:dyDescent="0.25" r="37" customHeight="1" ht="18.75">
      <c r="A37" s="6" t="s">
        <v>123</v>
      </c>
      <c r="B37" s="11"/>
      <c r="C37" s="11"/>
      <c r="D37" s="8"/>
      <c r="E37" s="8"/>
      <c r="F37" s="7"/>
      <c r="G37" s="7"/>
      <c r="H37" s="8"/>
      <c r="I37" s="7"/>
      <c r="J37" s="10"/>
    </row>
    <row x14ac:dyDescent="0.25" r="38" customHeight="1" ht="18.75">
      <c r="A38" s="6" t="s">
        <v>127</v>
      </c>
      <c r="B38" s="11"/>
      <c r="C38" s="11"/>
      <c r="D38" s="8"/>
      <c r="E38" s="8"/>
      <c r="F38" s="7"/>
      <c r="G38" s="7"/>
      <c r="H38" s="8"/>
      <c r="I38" s="7"/>
      <c r="J38" s="10"/>
    </row>
    <row x14ac:dyDescent="0.25" r="39" customHeight="1" ht="18.75">
      <c r="A39" s="6" t="s">
        <v>131</v>
      </c>
      <c r="B39" s="11"/>
      <c r="C39" s="11"/>
      <c r="D39" s="8"/>
      <c r="E39" s="8"/>
      <c r="F39" s="7"/>
      <c r="G39" s="7"/>
      <c r="H39" s="8"/>
      <c r="I39" s="7"/>
      <c r="J39" s="10"/>
    </row>
    <row x14ac:dyDescent="0.25" r="40" customHeight="1" ht="18.75">
      <c r="A40" s="6" t="s">
        <v>135</v>
      </c>
      <c r="B40" s="11"/>
      <c r="C40" s="11"/>
      <c r="D40" s="8"/>
      <c r="E40" s="8"/>
      <c r="F40" s="7"/>
      <c r="G40" s="7"/>
      <c r="H40" s="8"/>
      <c r="I40" s="7"/>
      <c r="J40" s="10"/>
    </row>
    <row x14ac:dyDescent="0.25" r="41" customHeight="1" ht="18.75">
      <c r="A41" s="6" t="s">
        <v>138</v>
      </c>
      <c r="B41" s="11"/>
      <c r="C41" s="11"/>
      <c r="D41" s="8"/>
      <c r="E41" s="8"/>
      <c r="F41" s="7"/>
      <c r="G41" s="7"/>
      <c r="H41" s="8"/>
      <c r="I41" s="7"/>
      <c r="J41" s="10"/>
    </row>
    <row x14ac:dyDescent="0.25" r="42" customHeight="1" ht="18.75">
      <c r="A42" s="6" t="s">
        <v>142</v>
      </c>
      <c r="B42" s="11"/>
      <c r="C42" s="11"/>
      <c r="D42" s="8"/>
      <c r="E42" s="8"/>
      <c r="F42" s="7"/>
      <c r="G42" s="7"/>
      <c r="H42" s="8"/>
      <c r="I42" s="7"/>
      <c r="J42" s="10"/>
    </row>
    <row x14ac:dyDescent="0.25" r="43" customHeight="1" ht="18.75">
      <c r="A43" s="6" t="s">
        <v>145</v>
      </c>
      <c r="B43" s="11"/>
      <c r="C43" s="11"/>
      <c r="D43" s="8"/>
      <c r="E43" s="8"/>
      <c r="F43" s="7"/>
      <c r="G43" s="7"/>
      <c r="H43" s="8"/>
      <c r="I43" s="7"/>
      <c r="J43" s="10"/>
    </row>
    <row x14ac:dyDescent="0.25" r="44" customHeight="1" ht="18.75">
      <c r="A44" s="6" t="s">
        <v>149</v>
      </c>
      <c r="B44" s="11"/>
      <c r="C44" s="11"/>
      <c r="D44" s="8"/>
      <c r="E44" s="8"/>
      <c r="F44" s="7"/>
      <c r="G44" s="7"/>
      <c r="H44" s="8"/>
      <c r="I44" s="7"/>
      <c r="J44" s="10"/>
    </row>
    <row x14ac:dyDescent="0.25" r="45" customHeight="1" ht="18.75">
      <c r="A45" s="6" t="s">
        <v>153</v>
      </c>
      <c r="B45" s="11"/>
      <c r="C45" s="11"/>
      <c r="D45" s="8"/>
      <c r="E45" s="8"/>
      <c r="F45" s="7"/>
      <c r="G45" s="7"/>
      <c r="H45" s="8"/>
      <c r="I45" s="7"/>
      <c r="J45" s="10"/>
    </row>
    <row x14ac:dyDescent="0.25" r="46" customHeight="1" ht="18.75">
      <c r="A46" s="6" t="s">
        <v>157</v>
      </c>
      <c r="B46" s="11"/>
      <c r="C46" s="11"/>
      <c r="D46" s="8"/>
      <c r="E46" s="8"/>
      <c r="F46" s="7"/>
      <c r="G46" s="7"/>
      <c r="H46" s="8"/>
      <c r="I46" s="7"/>
      <c r="J46" s="10"/>
    </row>
    <row x14ac:dyDescent="0.25" r="47" customHeight="1" ht="18.75">
      <c r="A47" s="6" t="s">
        <v>160</v>
      </c>
      <c r="B47" s="11"/>
      <c r="C47" s="11"/>
      <c r="D47" s="8"/>
      <c r="E47" s="8"/>
      <c r="F47" s="7"/>
      <c r="G47" s="7"/>
      <c r="H47" s="8"/>
      <c r="I47" s="7"/>
      <c r="J47" s="10"/>
    </row>
    <row x14ac:dyDescent="0.25" r="48" customHeight="1" ht="18.75">
      <c r="A48" s="6" t="s">
        <v>163</v>
      </c>
      <c r="B48" s="11"/>
      <c r="C48" s="11"/>
      <c r="D48" s="8"/>
      <c r="E48" s="8"/>
      <c r="F48" s="7"/>
      <c r="G48" s="7"/>
      <c r="H48" s="8"/>
      <c r="I48" s="7"/>
      <c r="J48" s="10"/>
    </row>
    <row x14ac:dyDescent="0.25" r="49" customHeight="1" ht="18.75">
      <c r="A49" s="6" t="s">
        <v>166</v>
      </c>
      <c r="B49" s="11"/>
      <c r="C49" s="11"/>
      <c r="D49" s="8"/>
      <c r="E49" s="8"/>
      <c r="F49" s="7"/>
      <c r="G49" s="7"/>
      <c r="H49" s="8"/>
      <c r="I49" s="7"/>
      <c r="J49" s="10"/>
    </row>
    <row x14ac:dyDescent="0.25" r="50" customHeight="1" ht="18.75">
      <c r="A50" s="6" t="s">
        <v>168</v>
      </c>
      <c r="B50" s="11"/>
      <c r="C50" s="11"/>
      <c r="D50" s="8"/>
      <c r="E50" s="8"/>
      <c r="F50" s="7"/>
      <c r="G50" s="7"/>
      <c r="H50" s="8"/>
      <c r="I50" s="7"/>
      <c r="J50" s="10"/>
    </row>
    <row x14ac:dyDescent="0.25" r="51" customHeight="1" ht="18.75">
      <c r="A51" s="6" t="s">
        <v>173</v>
      </c>
      <c r="B51" s="11"/>
      <c r="C51" s="11"/>
      <c r="D51" s="8"/>
      <c r="E51" s="8"/>
      <c r="F51" s="7"/>
      <c r="G51" s="7"/>
      <c r="H51" s="8"/>
      <c r="I51" s="7"/>
      <c r="J51" s="10"/>
    </row>
    <row x14ac:dyDescent="0.25" r="52" customHeight="1" ht="18.75">
      <c r="A52" s="6" t="s">
        <v>175</v>
      </c>
      <c r="B52" s="11"/>
      <c r="C52" s="11"/>
      <c r="D52" s="8"/>
      <c r="E52" s="8"/>
      <c r="F52" s="7"/>
      <c r="G52" s="7"/>
      <c r="H52" s="8"/>
      <c r="I52" s="7"/>
      <c r="J52" s="10"/>
    </row>
    <row x14ac:dyDescent="0.25" r="53" customHeight="1" ht="18.75">
      <c r="A53" s="6" t="s">
        <v>178</v>
      </c>
      <c r="B53" s="11"/>
      <c r="C53" s="11"/>
      <c r="D53" s="8"/>
      <c r="E53" s="8"/>
      <c r="F53" s="7"/>
      <c r="G53" s="7"/>
      <c r="H53" s="8"/>
      <c r="I53" s="7"/>
      <c r="J53" s="10"/>
    </row>
    <row x14ac:dyDescent="0.25" r="54" customHeight="1" ht="18.75">
      <c r="A54" s="6" t="s">
        <v>180</v>
      </c>
      <c r="B54" s="11"/>
      <c r="C54" s="11"/>
      <c r="D54" s="8"/>
      <c r="E54" s="8"/>
      <c r="F54" s="7"/>
      <c r="G54" s="7"/>
      <c r="H54" s="8"/>
      <c r="I54" s="7"/>
      <c r="J54" s="10"/>
    </row>
    <row x14ac:dyDescent="0.25" r="55" customHeight="1" ht="18.75">
      <c r="A55" s="6" t="s">
        <v>183</v>
      </c>
      <c r="B55" s="11"/>
      <c r="C55" s="11"/>
      <c r="D55" s="8"/>
      <c r="E55" s="8"/>
      <c r="F55" s="7"/>
      <c r="G55" s="7"/>
      <c r="H55" s="8"/>
      <c r="I55" s="7"/>
      <c r="J55" s="10"/>
    </row>
    <row x14ac:dyDescent="0.25" r="56" customHeight="1" ht="18.75">
      <c r="A56" s="6" t="s">
        <v>186</v>
      </c>
      <c r="B56" s="11"/>
      <c r="C56" s="11"/>
      <c r="D56" s="8"/>
      <c r="E56" s="8"/>
      <c r="F56" s="7"/>
      <c r="G56" s="7"/>
      <c r="H56" s="8"/>
      <c r="I56" s="7"/>
      <c r="J56" s="10"/>
    </row>
    <row x14ac:dyDescent="0.25" r="57" customHeight="1" ht="18.75">
      <c r="A57" s="6" t="s">
        <v>189</v>
      </c>
      <c r="B57" s="11"/>
      <c r="C57" s="11"/>
      <c r="D57" s="8"/>
      <c r="E57" s="8"/>
      <c r="F57" s="7"/>
      <c r="G57" s="7"/>
      <c r="H57" s="8"/>
      <c r="I57" s="7"/>
      <c r="J57" s="10"/>
    </row>
    <row x14ac:dyDescent="0.25" r="58" customHeight="1" ht="18.75">
      <c r="A58" s="6" t="s">
        <v>193</v>
      </c>
      <c r="B58" s="11"/>
      <c r="C58" s="11"/>
      <c r="D58" s="8"/>
      <c r="E58" s="8"/>
      <c r="F58" s="7"/>
      <c r="G58" s="7"/>
      <c r="H58" s="8"/>
      <c r="I58" s="7"/>
      <c r="J58" s="10"/>
    </row>
    <row x14ac:dyDescent="0.25" r="59" customHeight="1" ht="18.75">
      <c r="A59" s="6" t="s">
        <v>197</v>
      </c>
      <c r="B59" s="11"/>
      <c r="C59" s="11"/>
      <c r="D59" s="8"/>
      <c r="E59" s="8"/>
      <c r="F59" s="7"/>
      <c r="G59" s="7"/>
      <c r="H59" s="8"/>
      <c r="I59" s="7"/>
      <c r="J59" s="10"/>
    </row>
    <row x14ac:dyDescent="0.25" r="60" customHeight="1" ht="18.75">
      <c r="A60" s="6" t="s">
        <v>199</v>
      </c>
      <c r="B60" s="11"/>
      <c r="C60" s="11"/>
      <c r="D60" s="8"/>
      <c r="E60" s="8"/>
      <c r="F60" s="7"/>
      <c r="G60" s="7"/>
      <c r="H60" s="8"/>
      <c r="I60" s="7"/>
      <c r="J60" s="10"/>
    </row>
    <row x14ac:dyDescent="0.25" r="61" customHeight="1" ht="18.75">
      <c r="A61" s="6" t="s">
        <v>202</v>
      </c>
      <c r="B61" s="11"/>
      <c r="C61" s="11"/>
      <c r="D61" s="8"/>
      <c r="E61" s="8"/>
      <c r="F61" s="7"/>
      <c r="G61" s="7"/>
      <c r="H61" s="8"/>
      <c r="I61" s="7"/>
      <c r="J61" s="10"/>
    </row>
    <row x14ac:dyDescent="0.25" r="62" customHeight="1" ht="18.75">
      <c r="A62" s="6" t="s">
        <v>205</v>
      </c>
      <c r="B62" s="11"/>
      <c r="C62" s="11"/>
      <c r="D62" s="8"/>
      <c r="E62" s="8"/>
      <c r="F62" s="7"/>
      <c r="G62" s="7"/>
      <c r="H62" s="8"/>
      <c r="I62" s="7"/>
      <c r="J62" s="10"/>
    </row>
    <row x14ac:dyDescent="0.25" r="63" customHeight="1" ht="18.75">
      <c r="A63" s="6" t="s">
        <v>208</v>
      </c>
      <c r="B63" s="11"/>
      <c r="C63" s="11"/>
      <c r="D63" s="8"/>
      <c r="E63" s="8"/>
      <c r="F63" s="7"/>
      <c r="G63" s="7"/>
      <c r="H63" s="8"/>
      <c r="I63" s="7"/>
      <c r="J63" s="10"/>
    </row>
    <row x14ac:dyDescent="0.25" r="64" customHeight="1" ht="18.75">
      <c r="A64" s="6" t="s">
        <v>211</v>
      </c>
      <c r="B64" s="11"/>
      <c r="C64" s="11"/>
      <c r="D64" s="8"/>
      <c r="E64" s="8"/>
      <c r="F64" s="7"/>
      <c r="G64" s="7"/>
      <c r="H64" s="8"/>
      <c r="I64" s="7"/>
      <c r="J64" s="10"/>
    </row>
    <row x14ac:dyDescent="0.25" r="65" customHeight="1" ht="18.75">
      <c r="A65" s="6" t="s">
        <v>215</v>
      </c>
      <c r="B65" s="11"/>
      <c r="C65" s="11"/>
      <c r="D65" s="8"/>
      <c r="E65" s="8"/>
      <c r="F65" s="7"/>
      <c r="G65" s="7"/>
      <c r="H65" s="8"/>
      <c r="I65" s="7"/>
      <c r="J65" s="10"/>
    </row>
    <row x14ac:dyDescent="0.25" r="66" customHeight="1" ht="18.75">
      <c r="A66" s="6" t="s">
        <v>219</v>
      </c>
      <c r="B66" s="11"/>
      <c r="C66" s="11"/>
      <c r="D66" s="8"/>
      <c r="E66" s="8"/>
      <c r="F66" s="7"/>
      <c r="G66" s="7"/>
      <c r="H66" s="8"/>
      <c r="I66" s="7"/>
      <c r="J66" s="10"/>
    </row>
    <row x14ac:dyDescent="0.25" r="67" customHeight="1" ht="18.75">
      <c r="A67" s="6" t="s">
        <v>222</v>
      </c>
      <c r="B67" s="11"/>
      <c r="C67" s="11"/>
      <c r="D67" s="8"/>
      <c r="E67" s="8"/>
      <c r="F67" s="7"/>
      <c r="G67" s="7"/>
      <c r="H67" s="8"/>
      <c r="I67" s="7"/>
      <c r="J67" s="10"/>
    </row>
    <row x14ac:dyDescent="0.25" r="68" customHeight="1" ht="18.75">
      <c r="A68" s="6" t="s">
        <v>225</v>
      </c>
      <c r="B68" s="11"/>
      <c r="C68" s="11"/>
      <c r="D68" s="8"/>
      <c r="E68" s="8"/>
      <c r="F68" s="7"/>
      <c r="G68" s="7"/>
      <c r="H68" s="8"/>
      <c r="I68" s="7"/>
      <c r="J68" s="10"/>
    </row>
    <row x14ac:dyDescent="0.25" r="69" customHeight="1" ht="18.75">
      <c r="A69" s="6" t="s">
        <v>229</v>
      </c>
      <c r="B69" s="11"/>
      <c r="C69" s="11"/>
      <c r="D69" s="8"/>
      <c r="E69" s="8"/>
      <c r="F69" s="7"/>
      <c r="G69" s="7"/>
      <c r="H69" s="8"/>
      <c r="I69" s="7"/>
      <c r="J69" s="10"/>
    </row>
    <row x14ac:dyDescent="0.25" r="70" customHeight="1" ht="18.75">
      <c r="A70" s="6" t="s">
        <v>233</v>
      </c>
      <c r="B70" s="11"/>
      <c r="C70" s="11"/>
      <c r="D70" s="8"/>
      <c r="E70" s="8"/>
      <c r="F70" s="7"/>
      <c r="G70" s="7"/>
      <c r="H70" s="8"/>
      <c r="I70" s="7"/>
      <c r="J70" s="10"/>
    </row>
    <row x14ac:dyDescent="0.25" r="71" customHeight="1" ht="18.75">
      <c r="A71" s="6" t="s">
        <v>236</v>
      </c>
      <c r="B71" s="11"/>
      <c r="C71" s="11"/>
      <c r="D71" s="8"/>
      <c r="E71" s="8"/>
      <c r="F71" s="7"/>
      <c r="G71" s="7"/>
      <c r="H71" s="8"/>
      <c r="I71" s="7"/>
      <c r="J71" s="10"/>
    </row>
    <row x14ac:dyDescent="0.25" r="72" customHeight="1" ht="18.75">
      <c r="A72" s="6" t="s">
        <v>239</v>
      </c>
      <c r="B72" s="11"/>
      <c r="C72" s="11"/>
      <c r="D72" s="8"/>
      <c r="E72" s="8"/>
      <c r="F72" s="7"/>
      <c r="G72" s="7"/>
      <c r="H72" s="8"/>
      <c r="I72" s="7"/>
      <c r="J72" s="10"/>
    </row>
    <row x14ac:dyDescent="0.25" r="73" customHeight="1" ht="18.75">
      <c r="A73" s="6" t="s">
        <v>241</v>
      </c>
      <c r="B73" s="11"/>
      <c r="C73" s="11"/>
      <c r="D73" s="8"/>
      <c r="E73" s="8"/>
      <c r="F73" s="7"/>
      <c r="G73" s="7"/>
      <c r="H73" s="8"/>
      <c r="I73" s="7"/>
      <c r="J73" s="10"/>
    </row>
    <row x14ac:dyDescent="0.25" r="74" customHeight="1" ht="18.75">
      <c r="A74" s="6" t="s">
        <v>245</v>
      </c>
      <c r="B74" s="11"/>
      <c r="C74" s="11"/>
      <c r="D74" s="8"/>
      <c r="E74" s="8"/>
      <c r="F74" s="7"/>
      <c r="G74" s="7"/>
      <c r="H74" s="8"/>
      <c r="I74" s="7"/>
      <c r="J74" s="10"/>
    </row>
    <row x14ac:dyDescent="0.25" r="75" customHeight="1" ht="18.75">
      <c r="A75" s="6" t="s">
        <v>249</v>
      </c>
      <c r="B75" s="11"/>
      <c r="C75" s="11"/>
      <c r="D75" s="8"/>
      <c r="E75" s="8"/>
      <c r="F75" s="7"/>
      <c r="G75" s="7"/>
      <c r="H75" s="8"/>
      <c r="I75" s="7"/>
      <c r="J75" s="10"/>
    </row>
    <row x14ac:dyDescent="0.25" r="76" customHeight="1" ht="18.75">
      <c r="A76" s="6" t="s">
        <v>252</v>
      </c>
      <c r="B76" s="11"/>
      <c r="C76" s="11"/>
      <c r="D76" s="8"/>
      <c r="E76" s="8"/>
      <c r="F76" s="7"/>
      <c r="G76" s="7"/>
      <c r="H76" s="8"/>
      <c r="I76" s="7"/>
      <c r="J76" s="10"/>
    </row>
    <row x14ac:dyDescent="0.25" r="77" customHeight="1" ht="18.75">
      <c r="A77" s="6" t="s">
        <v>257</v>
      </c>
      <c r="B77" s="11"/>
      <c r="C77" s="11"/>
      <c r="D77" s="8"/>
      <c r="E77" s="8"/>
      <c r="F77" s="7"/>
      <c r="G77" s="7"/>
      <c r="H77" s="8"/>
      <c r="I77" s="7"/>
      <c r="J77" s="10"/>
    </row>
    <row x14ac:dyDescent="0.25" r="78" customHeight="1" ht="18.75">
      <c r="A78" s="6" t="s">
        <v>260</v>
      </c>
      <c r="B78" s="11"/>
      <c r="C78" s="11"/>
      <c r="D78" s="8"/>
      <c r="E78" s="8"/>
      <c r="F78" s="7"/>
      <c r="G78" s="7"/>
      <c r="H78" s="8"/>
      <c r="I78" s="7"/>
      <c r="J78" s="10"/>
    </row>
    <row x14ac:dyDescent="0.25" r="79" customHeight="1" ht="18.75">
      <c r="A79" s="6" t="s">
        <v>262</v>
      </c>
      <c r="B79" s="11"/>
      <c r="C79" s="11"/>
      <c r="D79" s="8"/>
      <c r="E79" s="8"/>
      <c r="F79" s="7"/>
      <c r="G79" s="7"/>
      <c r="H79" s="8"/>
      <c r="I79" s="7"/>
      <c r="J79" s="10"/>
    </row>
    <row x14ac:dyDescent="0.25" r="80" customHeight="1" ht="18.75">
      <c r="A80" s="6" t="s">
        <v>264</v>
      </c>
      <c r="B80" s="11"/>
      <c r="C80" s="11"/>
      <c r="D80" s="8"/>
      <c r="E80" s="8"/>
      <c r="F80" s="7"/>
      <c r="G80" s="7"/>
      <c r="H80" s="8"/>
      <c r="I80" s="7"/>
      <c r="J80" s="10"/>
    </row>
    <row x14ac:dyDescent="0.25" r="81" customHeight="1" ht="18.75">
      <c r="A81" s="6" t="s">
        <v>268</v>
      </c>
      <c r="B81" s="11"/>
      <c r="C81" s="11"/>
      <c r="D81" s="8"/>
      <c r="E81" s="8"/>
      <c r="F81" s="7"/>
      <c r="G81" s="7"/>
      <c r="H81" s="8"/>
      <c r="I81" s="7"/>
      <c r="J81" s="10"/>
    </row>
    <row x14ac:dyDescent="0.25" r="82" customHeight="1" ht="18.75">
      <c r="A82" s="6" t="s">
        <v>271</v>
      </c>
      <c r="B82" s="11"/>
      <c r="C82" s="11"/>
      <c r="D82" s="8"/>
      <c r="E82" s="8"/>
      <c r="F82" s="7"/>
      <c r="G82" s="7"/>
      <c r="H82" s="8"/>
      <c r="I82" s="7"/>
      <c r="J82" s="10"/>
    </row>
    <row x14ac:dyDescent="0.25" r="83" customHeight="1" ht="18.75">
      <c r="A83" s="6" t="s">
        <v>274</v>
      </c>
      <c r="B83" s="11"/>
      <c r="C83" s="11"/>
      <c r="D83" s="8"/>
      <c r="E83" s="8"/>
      <c r="F83" s="7"/>
      <c r="G83" s="7"/>
      <c r="H83" s="8"/>
      <c r="I83" s="7"/>
      <c r="J83" s="10"/>
    </row>
    <row x14ac:dyDescent="0.25" r="84" customHeight="1" ht="18.75">
      <c r="A84" s="6" t="s">
        <v>276</v>
      </c>
      <c r="B84" s="11"/>
      <c r="C84" s="11"/>
      <c r="D84" s="8"/>
      <c r="E84" s="8"/>
      <c r="F84" s="7"/>
      <c r="G84" s="7"/>
      <c r="H84" s="8"/>
      <c r="I84" s="7"/>
      <c r="J84" s="10"/>
    </row>
    <row x14ac:dyDescent="0.25" r="85" customHeight="1" ht="18.75">
      <c r="A85" s="6" t="s">
        <v>279</v>
      </c>
      <c r="B85" s="11"/>
      <c r="C85" s="11"/>
      <c r="D85" s="8"/>
      <c r="E85" s="8"/>
      <c r="F85" s="7"/>
      <c r="G85" s="7"/>
      <c r="H85" s="8"/>
      <c r="I85" s="7"/>
      <c r="J85" s="10"/>
    </row>
    <row x14ac:dyDescent="0.25" r="86" customHeight="1" ht="18.75">
      <c r="A86" s="6" t="s">
        <v>282</v>
      </c>
      <c r="B86" s="11"/>
      <c r="C86" s="11"/>
      <c r="D86" s="8"/>
      <c r="E86" s="8"/>
      <c r="F86" s="7"/>
      <c r="G86" s="7"/>
      <c r="H86" s="8"/>
      <c r="I86" s="7"/>
      <c r="J86" s="10"/>
    </row>
    <row x14ac:dyDescent="0.25" r="87" customHeight="1" ht="18.75">
      <c r="A87" s="6" t="s">
        <v>284</v>
      </c>
      <c r="B87" s="11"/>
      <c r="C87" s="11"/>
      <c r="D87" s="8"/>
      <c r="E87" s="8"/>
      <c r="F87" s="7"/>
      <c r="G87" s="7"/>
      <c r="H87" s="8"/>
      <c r="I87" s="7"/>
      <c r="J87" s="10"/>
    </row>
    <row x14ac:dyDescent="0.25" r="88" customHeight="1" ht="18.75">
      <c r="A88" s="6" t="s">
        <v>286</v>
      </c>
      <c r="B88" s="11"/>
      <c r="C88" s="11"/>
      <c r="D88" s="8"/>
      <c r="E88" s="8"/>
      <c r="F88" s="7"/>
      <c r="G88" s="7"/>
      <c r="H88" s="8"/>
      <c r="I88" s="7"/>
      <c r="J88" s="10"/>
    </row>
    <row x14ac:dyDescent="0.25" r="89" customHeight="1" ht="18.75">
      <c r="A89" s="6" t="s">
        <v>290</v>
      </c>
      <c r="B89" s="11"/>
      <c r="C89" s="11"/>
      <c r="D89" s="8"/>
      <c r="E89" s="8"/>
      <c r="F89" s="7"/>
      <c r="G89" s="7"/>
      <c r="H89" s="8"/>
      <c r="I89" s="7"/>
      <c r="J89" s="10"/>
    </row>
    <row x14ac:dyDescent="0.25" r="90" customHeight="1" ht="18.75">
      <c r="A90" s="6" t="s">
        <v>294</v>
      </c>
      <c r="B90" s="11"/>
      <c r="C90" s="11"/>
      <c r="D90" s="8"/>
      <c r="E90" s="8"/>
      <c r="F90" s="7"/>
      <c r="G90" s="7"/>
      <c r="H90" s="8"/>
      <c r="I90" s="7"/>
      <c r="J90" s="10"/>
    </row>
    <row x14ac:dyDescent="0.25" r="91" customHeight="1" ht="18.75">
      <c r="A91" s="6" t="s">
        <v>297</v>
      </c>
      <c r="B91" s="11"/>
      <c r="C91" s="11"/>
      <c r="D91" s="8"/>
      <c r="E91" s="8"/>
      <c r="F91" s="7"/>
      <c r="G91" s="7"/>
      <c r="H91" s="8"/>
      <c r="I91" s="7"/>
      <c r="J91" s="10"/>
    </row>
    <row x14ac:dyDescent="0.25" r="92" customHeight="1" ht="18.75">
      <c r="A92" s="6" t="s">
        <v>299</v>
      </c>
      <c r="B92" s="11"/>
      <c r="C92" s="11"/>
      <c r="D92" s="8"/>
      <c r="E92" s="8"/>
      <c r="F92" s="7"/>
      <c r="G92" s="7"/>
      <c r="H92" s="8"/>
      <c r="I92" s="7"/>
      <c r="J92" s="10"/>
    </row>
    <row x14ac:dyDescent="0.25" r="93" customHeight="1" ht="18.75">
      <c r="A93" s="6" t="s">
        <v>302</v>
      </c>
      <c r="B93" s="11"/>
      <c r="C93" s="11"/>
      <c r="D93" s="8"/>
      <c r="E93" s="8"/>
      <c r="F93" s="7"/>
      <c r="G93" s="7"/>
      <c r="H93" s="8"/>
      <c r="I93" s="7"/>
      <c r="J93" s="10"/>
    </row>
    <row x14ac:dyDescent="0.25" r="94" customHeight="1" ht="18.75">
      <c r="A94" s="6" t="s">
        <v>305</v>
      </c>
      <c r="B94" s="11"/>
      <c r="C94" s="11"/>
      <c r="D94" s="8"/>
      <c r="E94" s="8"/>
      <c r="F94" s="7"/>
      <c r="G94" s="7"/>
      <c r="H94" s="8"/>
      <c r="I94" s="7"/>
      <c r="J94" s="10"/>
    </row>
    <row x14ac:dyDescent="0.25" r="95" customHeight="1" ht="18.75">
      <c r="A95" s="6" t="s">
        <v>308</v>
      </c>
      <c r="B95" s="11"/>
      <c r="C95" s="11"/>
      <c r="D95" s="8"/>
      <c r="E95" s="8"/>
      <c r="F95" s="7"/>
      <c r="G95" s="7"/>
      <c r="H95" s="8"/>
      <c r="I95" s="7"/>
      <c r="J95" s="10"/>
    </row>
    <row x14ac:dyDescent="0.25" r="96" customHeight="1" ht="18.75">
      <c r="A96" s="6" t="s">
        <v>312</v>
      </c>
      <c r="B96" s="11"/>
      <c r="C96" s="11"/>
      <c r="D96" s="8"/>
      <c r="E96" s="8"/>
      <c r="F96" s="7"/>
      <c r="G96" s="7"/>
      <c r="H96" s="8"/>
      <c r="I96" s="7"/>
      <c r="J96" s="10"/>
    </row>
    <row x14ac:dyDescent="0.25" r="97" customHeight="1" ht="18.75">
      <c r="A97" s="6" t="s">
        <v>316</v>
      </c>
      <c r="B97" s="11"/>
      <c r="C97" s="11"/>
      <c r="D97" s="8"/>
      <c r="E97" s="8"/>
      <c r="F97" s="7"/>
      <c r="G97" s="7"/>
      <c r="H97" s="8"/>
      <c r="I97" s="7"/>
      <c r="J97" s="10"/>
    </row>
    <row x14ac:dyDescent="0.25" r="98" customHeight="1" ht="18.75">
      <c r="A98" s="6" t="s">
        <v>319</v>
      </c>
      <c r="B98" s="11"/>
      <c r="C98" s="11"/>
      <c r="D98" s="8"/>
      <c r="E98" s="8"/>
      <c r="F98" s="7"/>
      <c r="G98" s="7"/>
      <c r="H98" s="8"/>
      <c r="I98" s="7"/>
      <c r="J98" s="10"/>
    </row>
    <row x14ac:dyDescent="0.25" r="99" customHeight="1" ht="18.75">
      <c r="A99" s="6" t="s">
        <v>322</v>
      </c>
      <c r="B99" s="11"/>
      <c r="C99" s="11"/>
      <c r="D99" s="8"/>
      <c r="E99" s="8"/>
      <c r="F99" s="7"/>
      <c r="G99" s="7"/>
      <c r="H99" s="8"/>
      <c r="I99" s="7"/>
      <c r="J99" s="10"/>
    </row>
    <row x14ac:dyDescent="0.25" r="100" customHeight="1" ht="18.75">
      <c r="A100" s="6" t="s">
        <v>326</v>
      </c>
      <c r="B100" s="11"/>
      <c r="C100" s="11"/>
      <c r="D100" s="8"/>
      <c r="E100" s="8"/>
      <c r="F100" s="7"/>
      <c r="G100" s="7"/>
      <c r="H100" s="8"/>
      <c r="I100" s="7"/>
      <c r="J100" s="10"/>
    </row>
    <row x14ac:dyDescent="0.25" r="101" customHeight="1" ht="18.75">
      <c r="A101" s="6" t="s">
        <v>330</v>
      </c>
      <c r="B101" s="11"/>
      <c r="C101" s="11"/>
      <c r="D101" s="8"/>
      <c r="E101" s="8"/>
      <c r="F101" s="7"/>
      <c r="G101" s="7"/>
      <c r="H101" s="8"/>
      <c r="I101" s="7"/>
      <c r="J101" s="10"/>
    </row>
    <row x14ac:dyDescent="0.25" r="102" customHeight="1" ht="18.75">
      <c r="A102" s="6" t="s">
        <v>332</v>
      </c>
      <c r="B102" s="11"/>
      <c r="C102" s="11"/>
      <c r="D102" s="8"/>
      <c r="E102" s="8"/>
      <c r="F102" s="7"/>
      <c r="G102" s="7"/>
      <c r="H102" s="8"/>
      <c r="I102" s="7"/>
      <c r="J102" s="10"/>
    </row>
    <row x14ac:dyDescent="0.25" r="103" customHeight="1" ht="18.75">
      <c r="A103" s="6" t="s">
        <v>336</v>
      </c>
      <c r="B103" s="11"/>
      <c r="C103" s="11"/>
      <c r="D103" s="8"/>
      <c r="E103" s="8"/>
      <c r="F103" s="7"/>
      <c r="G103" s="7"/>
      <c r="H103" s="8"/>
      <c r="I103" s="7"/>
      <c r="J103" s="10"/>
    </row>
    <row x14ac:dyDescent="0.25" r="104" customHeight="1" ht="18.75">
      <c r="A104" s="17"/>
      <c r="B104" s="17"/>
      <c r="C104" s="3"/>
      <c r="D104" s="3"/>
      <c r="E104" s="3"/>
      <c r="F104" s="3"/>
      <c r="G104" s="3"/>
      <c r="H104" s="3"/>
      <c r="I104" s="3"/>
      <c r="J104" s="3"/>
    </row>
    <row x14ac:dyDescent="0.25" r="105" customHeight="1" ht="18.75">
      <c r="A105" s="17"/>
      <c r="B105" s="17"/>
      <c r="C105" s="3"/>
      <c r="D105" s="3"/>
      <c r="E105" s="3"/>
      <c r="F105" s="3"/>
      <c r="G105" s="3"/>
      <c r="H105" s="3"/>
      <c r="I105" s="3"/>
      <c r="J105" s="3"/>
    </row>
    <row x14ac:dyDescent="0.25" r="106" customHeight="1" ht="18.75">
      <c r="A106" s="17"/>
      <c r="B106" s="17"/>
      <c r="C106" s="3"/>
      <c r="D106" s="3"/>
      <c r="E106" s="3"/>
      <c r="F106" s="3"/>
      <c r="G106" s="3"/>
      <c r="H106" s="3"/>
      <c r="I106" s="3"/>
      <c r="J106" s="3"/>
    </row>
    <row x14ac:dyDescent="0.25" r="107" customHeight="1" ht="18.75">
      <c r="A107" s="17"/>
      <c r="B107" s="17"/>
      <c r="C107" s="3"/>
      <c r="D107" s="3"/>
      <c r="E107" s="3"/>
      <c r="F107" s="3"/>
      <c r="G107" s="3"/>
      <c r="H107" s="3"/>
      <c r="I107" s="3"/>
      <c r="J107" s="3"/>
    </row>
    <row x14ac:dyDescent="0.25" r="108" customHeight="1" ht="18.75">
      <c r="A108" s="17"/>
      <c r="B108" s="17"/>
      <c r="C108" s="3"/>
      <c r="D108" s="3"/>
      <c r="E108" s="3"/>
      <c r="F108" s="3"/>
      <c r="G108" s="3"/>
      <c r="H108" s="3"/>
      <c r="I108" s="3"/>
      <c r="J108" s="3"/>
    </row>
    <row x14ac:dyDescent="0.25" r="109" customHeight="1" ht="18.75">
      <c r="A109" s="17"/>
      <c r="B109" s="17"/>
      <c r="C109" s="3"/>
      <c r="D109" s="3"/>
      <c r="E109" s="3"/>
      <c r="F109" s="3"/>
      <c r="G109" s="3"/>
      <c r="H109" s="3"/>
      <c r="I109" s="3"/>
      <c r="J109" s="3"/>
    </row>
    <row x14ac:dyDescent="0.25" r="110" customHeight="1" ht="18.75">
      <c r="A110" s="17"/>
      <c r="B110" s="17"/>
      <c r="C110" s="3"/>
      <c r="D110" s="3"/>
      <c r="E110" s="3"/>
      <c r="F110" s="3"/>
      <c r="G110" s="3"/>
      <c r="H110" s="3"/>
      <c r="I110" s="3"/>
      <c r="J110" s="3"/>
    </row>
    <row x14ac:dyDescent="0.25" r="111" customHeight="1" ht="18.75">
      <c r="A111" s="17"/>
      <c r="B111" s="17"/>
      <c r="C111" s="3"/>
      <c r="D111" s="3"/>
      <c r="E111" s="3"/>
      <c r="F111" s="3"/>
      <c r="G111" s="3"/>
      <c r="H111" s="3"/>
      <c r="I111" s="3"/>
      <c r="J111" s="3"/>
    </row>
    <row x14ac:dyDescent="0.25" r="112" customHeight="1" ht="18.75">
      <c r="A112" s="17"/>
      <c r="B112" s="17"/>
      <c r="C112" s="3"/>
      <c r="D112" s="3"/>
      <c r="E112" s="3"/>
      <c r="F112" s="3"/>
      <c r="G112" s="3"/>
      <c r="H112" s="3"/>
      <c r="I112" s="3"/>
      <c r="J112" s="3"/>
    </row>
    <row x14ac:dyDescent="0.25" r="113" customHeight="1" ht="18.75">
      <c r="A113" s="17"/>
      <c r="B113" s="17"/>
      <c r="C113" s="3"/>
      <c r="D113" s="3"/>
      <c r="E113" s="3"/>
      <c r="F113" s="3"/>
      <c r="G113" s="3"/>
      <c r="H113" s="3"/>
      <c r="I113" s="3"/>
      <c r="J113" s="3"/>
    </row>
    <row x14ac:dyDescent="0.25" r="114" customHeight="1" ht="18.75">
      <c r="A114" s="17"/>
      <c r="B114" s="17"/>
      <c r="C114" s="3"/>
      <c r="D114" s="3"/>
      <c r="E114" s="3"/>
      <c r="F114" s="3"/>
      <c r="G114" s="3"/>
      <c r="H114" s="3"/>
      <c r="I114" s="3"/>
      <c r="J114" s="3"/>
    </row>
    <row x14ac:dyDescent="0.25" r="115" customHeight="1" ht="18.75">
      <c r="A115" s="17"/>
      <c r="B115" s="17"/>
      <c r="C115" s="3"/>
      <c r="D115" s="3"/>
      <c r="E115" s="3"/>
      <c r="F115" s="3"/>
      <c r="G115" s="3"/>
      <c r="H115" s="3"/>
      <c r="I115" s="3"/>
      <c r="J115" s="3"/>
    </row>
    <row x14ac:dyDescent="0.25" r="116" customHeight="1" ht="18.75">
      <c r="A116" s="17"/>
      <c r="B116" s="17"/>
      <c r="C116" s="3"/>
      <c r="D116" s="3"/>
      <c r="E116" s="3"/>
      <c r="F116" s="3"/>
      <c r="G116" s="3"/>
      <c r="H116" s="3"/>
      <c r="I116" s="3"/>
      <c r="J116" s="3"/>
    </row>
    <row x14ac:dyDescent="0.25" r="117" customHeight="1" ht="18.75">
      <c r="A117" s="17"/>
      <c r="B117" s="17"/>
      <c r="C117" s="3"/>
      <c r="D117" s="3"/>
      <c r="E117" s="3"/>
      <c r="F117" s="3"/>
      <c r="G117" s="3"/>
      <c r="H117" s="3"/>
      <c r="I117" s="3"/>
      <c r="J117" s="3"/>
    </row>
    <row x14ac:dyDescent="0.25" r="118" customHeight="1" ht="18.75">
      <c r="A118" s="17"/>
      <c r="B118" s="17"/>
      <c r="C118" s="3"/>
      <c r="D118" s="3"/>
      <c r="E118" s="3"/>
      <c r="F118" s="3"/>
      <c r="G118" s="3"/>
      <c r="H118" s="3"/>
      <c r="I118" s="3"/>
      <c r="J118" s="3"/>
    </row>
    <row x14ac:dyDescent="0.25" r="119" customHeight="1" ht="18.75">
      <c r="A119" s="17"/>
      <c r="B119" s="17"/>
      <c r="C119" s="3"/>
      <c r="D119" s="3"/>
      <c r="E119" s="3"/>
      <c r="F119" s="3"/>
      <c r="G119" s="3"/>
      <c r="H119" s="3"/>
      <c r="I119" s="3"/>
      <c r="J119" s="3"/>
    </row>
    <row x14ac:dyDescent="0.25" r="120" customHeight="1" ht="18.75">
      <c r="A120" s="17"/>
      <c r="B120" s="17"/>
      <c r="C120" s="3"/>
      <c r="D120" s="3"/>
      <c r="E120" s="3"/>
      <c r="F120" s="3"/>
      <c r="G120" s="3"/>
      <c r="H120" s="3"/>
      <c r="I120" s="3"/>
      <c r="J120" s="3"/>
    </row>
    <row x14ac:dyDescent="0.25" r="121" customHeight="1" ht="18.75">
      <c r="A121" s="17"/>
      <c r="B121" s="17"/>
      <c r="C121" s="3"/>
      <c r="D121" s="3"/>
      <c r="E121" s="3"/>
      <c r="F121" s="3"/>
      <c r="G121" s="3"/>
      <c r="H121" s="3"/>
      <c r="I121" s="3"/>
      <c r="J121" s="3"/>
    </row>
    <row x14ac:dyDescent="0.25" r="122" customHeight="1" ht="18.75">
      <c r="A122" s="17"/>
      <c r="B122" s="17"/>
      <c r="C122" s="3"/>
      <c r="D122" s="3"/>
      <c r="E122" s="3"/>
      <c r="F122" s="3"/>
      <c r="G122" s="3"/>
      <c r="H122" s="3"/>
      <c r="I122" s="3"/>
      <c r="J122" s="3"/>
    </row>
    <row x14ac:dyDescent="0.25" r="123" customHeight="1" ht="18.75">
      <c r="A123" s="17"/>
      <c r="B123" s="17"/>
      <c r="C123" s="3"/>
      <c r="D123" s="3"/>
      <c r="E123" s="3"/>
      <c r="F123" s="3"/>
      <c r="G123" s="3"/>
      <c r="H123" s="3"/>
      <c r="I123" s="3"/>
      <c r="J123" s="3"/>
    </row>
    <row x14ac:dyDescent="0.25" r="124" customHeight="1" ht="18.75">
      <c r="A124" s="17"/>
      <c r="B124" s="17"/>
      <c r="C124" s="3"/>
      <c r="D124" s="3"/>
      <c r="E124" s="3"/>
      <c r="F124" s="3"/>
      <c r="G124" s="3"/>
      <c r="H124" s="3"/>
      <c r="I124" s="3"/>
      <c r="J124" s="3"/>
    </row>
    <row x14ac:dyDescent="0.25" r="125" customHeight="1" ht="18.75">
      <c r="A125" s="17"/>
      <c r="B125" s="17"/>
      <c r="C125" s="3"/>
      <c r="D125" s="3"/>
      <c r="E125" s="3"/>
      <c r="F125" s="3"/>
      <c r="G125" s="3"/>
      <c r="H125" s="3"/>
      <c r="I125" s="3"/>
      <c r="J125" s="3"/>
    </row>
    <row x14ac:dyDescent="0.25" r="126" customHeight="1" ht="18.75">
      <c r="A126" s="17"/>
      <c r="B126" s="17"/>
      <c r="C126" s="3"/>
      <c r="D126" s="3"/>
      <c r="E126" s="3"/>
      <c r="F126" s="3"/>
      <c r="G126" s="3"/>
      <c r="H126" s="3"/>
      <c r="I126" s="3"/>
      <c r="J126" s="3"/>
    </row>
    <row x14ac:dyDescent="0.25" r="127" customHeight="1" ht="18.75">
      <c r="A127" s="17"/>
      <c r="B127" s="17"/>
      <c r="C127" s="3"/>
      <c r="D127" s="3"/>
      <c r="E127" s="3"/>
      <c r="F127" s="3"/>
      <c r="G127" s="3"/>
      <c r="H127" s="3"/>
      <c r="I127" s="3"/>
      <c r="J127" s="3"/>
    </row>
    <row x14ac:dyDescent="0.25" r="128" customHeight="1" ht="18.75">
      <c r="A128" s="17"/>
      <c r="B128" s="17"/>
      <c r="C128" s="3"/>
      <c r="D128" s="3"/>
      <c r="E128" s="3"/>
      <c r="F128" s="3"/>
      <c r="G128" s="3"/>
      <c r="H128" s="3"/>
      <c r="I128" s="3"/>
      <c r="J128" s="3"/>
    </row>
    <row x14ac:dyDescent="0.25" r="129" customHeight="1" ht="18.75">
      <c r="A129" s="17"/>
      <c r="B129" s="17"/>
      <c r="C129" s="3"/>
      <c r="D129" s="3"/>
      <c r="E129" s="3"/>
      <c r="F129" s="3"/>
      <c r="G129" s="3"/>
      <c r="H129" s="3"/>
      <c r="I129" s="3"/>
      <c r="J129" s="3"/>
    </row>
    <row x14ac:dyDescent="0.25" r="130" customHeight="1" ht="18.75">
      <c r="A130" s="17"/>
      <c r="B130" s="17"/>
      <c r="C130" s="3"/>
      <c r="D130" s="3"/>
      <c r="E130" s="3"/>
      <c r="F130" s="3"/>
      <c r="G130" s="3"/>
      <c r="H130" s="3"/>
      <c r="I130" s="3"/>
      <c r="J130" s="3"/>
    </row>
    <row x14ac:dyDescent="0.25" r="131" customHeight="1" ht="18.75">
      <c r="A131" s="17"/>
      <c r="B131" s="17"/>
      <c r="C131" s="3"/>
      <c r="D131" s="3"/>
      <c r="E131" s="3"/>
      <c r="F131" s="3"/>
      <c r="G131" s="3"/>
      <c r="H131" s="3"/>
      <c r="I131" s="3"/>
      <c r="J131" s="3"/>
    </row>
    <row x14ac:dyDescent="0.25" r="132" customHeight="1" ht="18.75">
      <c r="A132" s="17"/>
      <c r="B132" s="17"/>
      <c r="C132" s="3"/>
      <c r="D132" s="3"/>
      <c r="E132" s="3"/>
      <c r="F132" s="3"/>
      <c r="G132" s="3"/>
      <c r="H132" s="3"/>
      <c r="I132" s="3"/>
      <c r="J132" s="3"/>
    </row>
    <row x14ac:dyDescent="0.25" r="133" customHeight="1" ht="18.75">
      <c r="A133" s="17"/>
      <c r="B133" s="17"/>
      <c r="C133" s="3"/>
      <c r="D133" s="3"/>
      <c r="E133" s="3"/>
      <c r="F133" s="3"/>
      <c r="G133" s="3"/>
      <c r="H133" s="3"/>
      <c r="I133" s="3"/>
      <c r="J133" s="3"/>
    </row>
    <row x14ac:dyDescent="0.25" r="134" customHeight="1" ht="18.75">
      <c r="A134" s="17"/>
      <c r="B134" s="17"/>
      <c r="C134" s="3"/>
      <c r="D134" s="3"/>
      <c r="E134" s="3"/>
      <c r="F134" s="3"/>
      <c r="G134" s="3"/>
      <c r="H134" s="3"/>
      <c r="I134" s="3"/>
      <c r="J134" s="3"/>
    </row>
    <row x14ac:dyDescent="0.25" r="135" customHeight="1" ht="18.75">
      <c r="A135" s="17"/>
      <c r="B135" s="17"/>
      <c r="C135" s="3"/>
      <c r="D135" s="3"/>
      <c r="E135" s="3"/>
      <c r="F135" s="3"/>
      <c r="G135" s="3"/>
      <c r="H135" s="3"/>
      <c r="I135" s="3"/>
      <c r="J135" s="3"/>
    </row>
    <row x14ac:dyDescent="0.25" r="136" customHeight="1" ht="18.75">
      <c r="A136" s="17"/>
      <c r="B136" s="17"/>
      <c r="C136" s="3"/>
      <c r="D136" s="3"/>
      <c r="E136" s="3"/>
      <c r="F136" s="3"/>
      <c r="G136" s="3"/>
      <c r="H136" s="3"/>
      <c r="I136" s="3"/>
      <c r="J136" s="3"/>
    </row>
    <row x14ac:dyDescent="0.25" r="137" customHeight="1" ht="18.75">
      <c r="A137" s="17"/>
      <c r="B137" s="17"/>
      <c r="C137" s="3"/>
      <c r="D137" s="3"/>
      <c r="E137" s="3"/>
      <c r="F137" s="3"/>
      <c r="G137" s="3"/>
      <c r="H137" s="3"/>
      <c r="I137" s="3"/>
      <c r="J137" s="3"/>
    </row>
    <row x14ac:dyDescent="0.25" r="138" customHeight="1" ht="18.75">
      <c r="A138" s="17"/>
      <c r="B138" s="17"/>
      <c r="C138" s="3"/>
      <c r="D138" s="3"/>
      <c r="E138" s="3"/>
      <c r="F138" s="3"/>
      <c r="G138" s="3"/>
      <c r="H138" s="3"/>
      <c r="I138" s="3"/>
      <c r="J138" s="3"/>
    </row>
    <row x14ac:dyDescent="0.25" r="139" customHeight="1" ht="18.75">
      <c r="A139" s="17"/>
      <c r="B139" s="17"/>
      <c r="C139" s="3"/>
      <c r="D139" s="3"/>
      <c r="E139" s="3"/>
      <c r="F139" s="3"/>
      <c r="G139" s="3"/>
      <c r="H139" s="3"/>
      <c r="I139" s="3"/>
      <c r="J139" s="3"/>
    </row>
    <row x14ac:dyDescent="0.25" r="140" customHeight="1" ht="18.75">
      <c r="A140" s="17"/>
      <c r="B140" s="17"/>
      <c r="C140" s="3"/>
      <c r="D140" s="3"/>
      <c r="E140" s="3"/>
      <c r="F140" s="3"/>
      <c r="G140" s="3"/>
      <c r="H140" s="3"/>
      <c r="I140" s="3"/>
      <c r="J140" s="3"/>
    </row>
    <row x14ac:dyDescent="0.25" r="141" customHeight="1" ht="18.75">
      <c r="A141" s="17"/>
      <c r="B141" s="17"/>
      <c r="C141" s="3"/>
      <c r="D141" s="3"/>
      <c r="E141" s="3"/>
      <c r="F141" s="3"/>
      <c r="G141" s="3"/>
      <c r="H141" s="3"/>
      <c r="I141" s="3"/>
      <c r="J141" s="3"/>
    </row>
    <row x14ac:dyDescent="0.25" r="142" customHeight="1" ht="18.75">
      <c r="A142" s="17"/>
      <c r="B142" s="17"/>
      <c r="C142" s="3"/>
      <c r="D142" s="3"/>
      <c r="E142" s="3"/>
      <c r="F142" s="3"/>
      <c r="G142" s="3"/>
      <c r="H142" s="3"/>
      <c r="I142" s="3"/>
      <c r="J142" s="3"/>
    </row>
    <row x14ac:dyDescent="0.25" r="143" customHeight="1" ht="18.75">
      <c r="A143" s="17"/>
      <c r="B143" s="17"/>
      <c r="C143" s="3"/>
      <c r="D143" s="3"/>
      <c r="E143" s="3"/>
      <c r="F143" s="3"/>
      <c r="G143" s="3"/>
      <c r="H143" s="3"/>
      <c r="I143" s="3"/>
      <c r="J143" s="3"/>
    </row>
    <row x14ac:dyDescent="0.25" r="144" customHeight="1" ht="18.75">
      <c r="A144" s="17"/>
      <c r="B144" s="17"/>
      <c r="C144" s="3"/>
      <c r="D144" s="3"/>
      <c r="E144" s="3"/>
      <c r="F144" s="3"/>
      <c r="G144" s="3"/>
      <c r="H144" s="3"/>
      <c r="I144" s="3"/>
      <c r="J144" s="3"/>
    </row>
    <row x14ac:dyDescent="0.25" r="145" customHeight="1" ht="18.75">
      <c r="A145" s="17"/>
      <c r="B145" s="17"/>
      <c r="C145" s="3"/>
      <c r="D145" s="3"/>
      <c r="E145" s="3"/>
      <c r="F145" s="3"/>
      <c r="G145" s="3"/>
      <c r="H145" s="3"/>
      <c r="I145" s="3"/>
      <c r="J145" s="3"/>
    </row>
    <row x14ac:dyDescent="0.25" r="146" customHeight="1" ht="18.75">
      <c r="A146" s="17"/>
      <c r="B146" s="17"/>
      <c r="C146" s="3"/>
      <c r="D146" s="3"/>
      <c r="E146" s="3"/>
      <c r="F146" s="3"/>
      <c r="G146" s="3"/>
      <c r="H146" s="3"/>
      <c r="I146" s="3"/>
      <c r="J146" s="3"/>
    </row>
    <row x14ac:dyDescent="0.25" r="147" customHeight="1" ht="18.75">
      <c r="A147" s="17"/>
      <c r="B147" s="17"/>
      <c r="C147" s="3"/>
      <c r="D147" s="3"/>
      <c r="E147" s="3"/>
      <c r="F147" s="3"/>
      <c r="G147" s="3"/>
      <c r="H147" s="3"/>
      <c r="I147" s="3"/>
      <c r="J147" s="3"/>
    </row>
    <row x14ac:dyDescent="0.25" r="148" customHeight="1" ht="18.75">
      <c r="A148" s="17"/>
      <c r="B148" s="17"/>
      <c r="C148" s="3"/>
      <c r="D148" s="3"/>
      <c r="E148" s="3"/>
      <c r="F148" s="3"/>
      <c r="G148" s="3"/>
      <c r="H148" s="3"/>
      <c r="I148" s="3"/>
      <c r="J148" s="3"/>
    </row>
    <row x14ac:dyDescent="0.25" r="149" customHeight="1" ht="18.75">
      <c r="A149" s="17"/>
      <c r="B149" s="17"/>
      <c r="C149" s="3"/>
      <c r="D149" s="3"/>
      <c r="E149" s="3"/>
      <c r="F149" s="3"/>
      <c r="G149" s="3"/>
      <c r="H149" s="3"/>
      <c r="I149" s="3"/>
      <c r="J149" s="3"/>
    </row>
    <row x14ac:dyDescent="0.25" r="150" customHeight="1" ht="18.75">
      <c r="A150" s="17"/>
      <c r="B150" s="17"/>
      <c r="C150" s="3"/>
      <c r="D150" s="3"/>
      <c r="E150" s="3"/>
      <c r="F150" s="3"/>
      <c r="G150" s="3"/>
      <c r="H150" s="3"/>
      <c r="I150" s="3"/>
      <c r="J150" s="3"/>
    </row>
    <row x14ac:dyDescent="0.25" r="151" customHeight="1" ht="18.75">
      <c r="A151" s="17"/>
      <c r="B151" s="17"/>
      <c r="C151" s="3"/>
      <c r="D151" s="3"/>
      <c r="E151" s="3"/>
      <c r="F151" s="3"/>
      <c r="G151" s="3"/>
      <c r="H151" s="3"/>
      <c r="I151" s="3"/>
      <c r="J151" s="3"/>
    </row>
    <row x14ac:dyDescent="0.25" r="152" customHeight="1" ht="18.75">
      <c r="A152" s="17"/>
      <c r="B152" s="17"/>
      <c r="C152" s="3"/>
      <c r="D152" s="3"/>
      <c r="E152" s="3"/>
      <c r="F152" s="3"/>
      <c r="G152" s="3"/>
      <c r="H152" s="3"/>
      <c r="I152" s="3"/>
      <c r="J152" s="3"/>
    </row>
    <row x14ac:dyDescent="0.25" r="153" customHeight="1" ht="18.75">
      <c r="A153" s="17"/>
      <c r="B153" s="17"/>
      <c r="C153" s="3"/>
      <c r="D153" s="3"/>
      <c r="E153" s="3"/>
      <c r="F153" s="3"/>
      <c r="G153" s="3"/>
      <c r="H153" s="3"/>
      <c r="I153" s="3"/>
      <c r="J153" s="3"/>
    </row>
    <row x14ac:dyDescent="0.25" r="154" customHeight="1" ht="18.75">
      <c r="A154" s="17"/>
      <c r="B154" s="17"/>
      <c r="C154" s="3"/>
      <c r="D154" s="3"/>
      <c r="E154" s="3"/>
      <c r="F154" s="3"/>
      <c r="G154" s="3"/>
      <c r="H154" s="3"/>
      <c r="I154" s="3"/>
      <c r="J154" s="3"/>
    </row>
    <row x14ac:dyDescent="0.25" r="155" customHeight="1" ht="18.75">
      <c r="A155" s="17"/>
      <c r="B155" s="17"/>
      <c r="C155" s="3"/>
      <c r="D155" s="3"/>
      <c r="E155" s="3"/>
      <c r="F155" s="3"/>
      <c r="G155" s="3"/>
      <c r="H155" s="3"/>
      <c r="I155" s="3"/>
      <c r="J155" s="3"/>
    </row>
    <row x14ac:dyDescent="0.25" r="156" customHeight="1" ht="18.75">
      <c r="A156" s="17"/>
      <c r="B156" s="17"/>
      <c r="C156" s="3"/>
      <c r="D156" s="3"/>
      <c r="E156" s="3"/>
      <c r="F156" s="3"/>
      <c r="G156" s="3"/>
      <c r="H156" s="3"/>
      <c r="I156" s="3"/>
      <c r="J156" s="3"/>
    </row>
    <row x14ac:dyDescent="0.25" r="157" customHeight="1" ht="18.75">
      <c r="A157" s="17"/>
      <c r="B157" s="17"/>
      <c r="C157" s="3"/>
      <c r="D157" s="3"/>
      <c r="E157" s="3"/>
      <c r="F157" s="3"/>
      <c r="G157" s="3"/>
      <c r="H157" s="3"/>
      <c r="I157" s="3"/>
      <c r="J157" s="3"/>
    </row>
    <row x14ac:dyDescent="0.25" r="158" customHeight="1" ht="18.75">
      <c r="A158" s="17"/>
      <c r="B158" s="17"/>
      <c r="C158" s="3"/>
      <c r="D158" s="3"/>
      <c r="E158" s="3"/>
      <c r="F158" s="3"/>
      <c r="G158" s="3"/>
      <c r="H158" s="3"/>
      <c r="I158" s="3"/>
      <c r="J158" s="3"/>
    </row>
    <row x14ac:dyDescent="0.25" r="159" customHeight="1" ht="18.75">
      <c r="A159" s="17"/>
      <c r="B159" s="17"/>
      <c r="C159" s="3"/>
      <c r="D159" s="3"/>
      <c r="E159" s="3"/>
      <c r="F159" s="3"/>
      <c r="G159" s="3"/>
      <c r="H159" s="3"/>
      <c r="I159" s="3"/>
      <c r="J159" s="3"/>
    </row>
    <row x14ac:dyDescent="0.25" r="160" customHeight="1" ht="18.75">
      <c r="A160" s="17"/>
      <c r="B160" s="17"/>
      <c r="C160" s="3"/>
      <c r="D160" s="3"/>
      <c r="E160" s="3"/>
      <c r="F160" s="3"/>
      <c r="G160" s="3"/>
      <c r="H160" s="3"/>
      <c r="I160" s="3"/>
      <c r="J160" s="3"/>
    </row>
    <row x14ac:dyDescent="0.25" r="161" customHeight="1" ht="18.75">
      <c r="A161" s="17"/>
      <c r="B161" s="17"/>
      <c r="C161" s="3"/>
      <c r="D161" s="3"/>
      <c r="E161" s="3"/>
      <c r="F161" s="3"/>
      <c r="G161" s="3"/>
      <c r="H161" s="3"/>
      <c r="I161" s="3"/>
      <c r="J161" s="3"/>
    </row>
    <row x14ac:dyDescent="0.25" r="162" customHeight="1" ht="18.75">
      <c r="A162" s="17"/>
      <c r="B162" s="17"/>
      <c r="C162" s="3"/>
      <c r="D162" s="3"/>
      <c r="E162" s="3"/>
      <c r="F162" s="3"/>
      <c r="G162" s="3"/>
      <c r="H162" s="3"/>
      <c r="I162" s="3"/>
      <c r="J162" s="3"/>
    </row>
    <row x14ac:dyDescent="0.25" r="163" customHeight="1" ht="18.75">
      <c r="A163" s="17"/>
      <c r="B163" s="17"/>
      <c r="C163" s="3"/>
      <c r="D163" s="3"/>
      <c r="E163" s="3"/>
      <c r="F163" s="3"/>
      <c r="G163" s="3"/>
      <c r="H163" s="3"/>
      <c r="I163" s="3"/>
      <c r="J163" s="3"/>
    </row>
    <row x14ac:dyDescent="0.25" r="164" customHeight="1" ht="18.75">
      <c r="A164" s="17"/>
      <c r="B164" s="17"/>
      <c r="C164" s="3"/>
      <c r="D164" s="3"/>
      <c r="E164" s="3"/>
      <c r="F164" s="3"/>
      <c r="G164" s="3"/>
      <c r="H164" s="3"/>
      <c r="I164" s="3"/>
      <c r="J164" s="3"/>
    </row>
    <row x14ac:dyDescent="0.25" r="165" customHeight="1" ht="18.75">
      <c r="A165" s="17"/>
      <c r="B165" s="17"/>
      <c r="C165" s="3"/>
      <c r="D165" s="3"/>
      <c r="E165" s="3"/>
      <c r="F165" s="3"/>
      <c r="G165" s="3"/>
      <c r="H165" s="3"/>
      <c r="I165" s="3"/>
      <c r="J165" s="3"/>
    </row>
    <row x14ac:dyDescent="0.25" r="166" customHeight="1" ht="18.75">
      <c r="A166" s="17"/>
      <c r="B166" s="17"/>
      <c r="C166" s="3"/>
      <c r="D166" s="3"/>
      <c r="E166" s="3"/>
      <c r="F166" s="3"/>
      <c r="G166" s="3"/>
      <c r="H166" s="3"/>
      <c r="I166" s="3"/>
      <c r="J166" s="3"/>
    </row>
    <row x14ac:dyDescent="0.25" r="167" customHeight="1" ht="18.75">
      <c r="A167" s="17"/>
      <c r="B167" s="17"/>
      <c r="C167" s="3"/>
      <c r="D167" s="3"/>
      <c r="E167" s="3"/>
      <c r="F167" s="3"/>
      <c r="G167" s="3"/>
      <c r="H167" s="3"/>
      <c r="I167" s="3"/>
      <c r="J167" s="3"/>
    </row>
    <row x14ac:dyDescent="0.25" r="168" customHeight="1" ht="18.75">
      <c r="A168" s="17"/>
      <c r="B168" s="17"/>
      <c r="C168" s="3"/>
      <c r="D168" s="3"/>
      <c r="E168" s="3"/>
      <c r="F168" s="3"/>
      <c r="G168" s="3"/>
      <c r="H168" s="3"/>
      <c r="I168" s="3"/>
      <c r="J168" s="3"/>
    </row>
    <row x14ac:dyDescent="0.25" r="169" customHeight="1" ht="18.75">
      <c r="A169" s="17"/>
      <c r="B169" s="17"/>
      <c r="C169" s="3"/>
      <c r="D169" s="3"/>
      <c r="E169" s="3"/>
      <c r="F169" s="3"/>
      <c r="G169" s="3"/>
      <c r="H169" s="3"/>
      <c r="I169" s="3"/>
      <c r="J169" s="3"/>
    </row>
    <row x14ac:dyDescent="0.25" r="170" customHeight="1" ht="18.75">
      <c r="A170" s="17"/>
      <c r="B170" s="17"/>
      <c r="C170" s="3"/>
      <c r="D170" s="3"/>
      <c r="E170" s="3"/>
      <c r="F170" s="3"/>
      <c r="G170" s="3"/>
      <c r="H170" s="3"/>
      <c r="I170" s="3"/>
      <c r="J170" s="3"/>
    </row>
    <row x14ac:dyDescent="0.25" r="171" customHeight="1" ht="18.75">
      <c r="A171" s="17"/>
      <c r="B171" s="17"/>
      <c r="C171" s="3"/>
      <c r="D171" s="3"/>
      <c r="E171" s="3"/>
      <c r="F171" s="3"/>
      <c r="G171" s="3"/>
      <c r="H171" s="3"/>
      <c r="I171" s="3"/>
      <c r="J171" s="3"/>
    </row>
    <row x14ac:dyDescent="0.25" r="172" customHeight="1" ht="18.75">
      <c r="A172" s="17"/>
      <c r="B172" s="17"/>
      <c r="C172" s="3"/>
      <c r="D172" s="3"/>
      <c r="E172" s="3"/>
      <c r="F172" s="3"/>
      <c r="G172" s="3"/>
      <c r="H172" s="3"/>
      <c r="I172" s="3"/>
      <c r="J172" s="3"/>
    </row>
    <row x14ac:dyDescent="0.25" r="173" customHeight="1" ht="18.75">
      <c r="A173" s="17"/>
      <c r="B173" s="17"/>
      <c r="C173" s="3"/>
      <c r="D173" s="3"/>
      <c r="E173" s="3"/>
      <c r="F173" s="3"/>
      <c r="G173" s="3"/>
      <c r="H173" s="3"/>
      <c r="I173" s="3"/>
      <c r="J173" s="3"/>
    </row>
    <row x14ac:dyDescent="0.25" r="174" customHeight="1" ht="18.75">
      <c r="A174" s="17"/>
      <c r="B174" s="17"/>
      <c r="C174" s="3"/>
      <c r="D174" s="3"/>
      <c r="E174" s="3"/>
      <c r="F174" s="3"/>
      <c r="G174" s="3"/>
      <c r="H174" s="3"/>
      <c r="I174" s="3"/>
      <c r="J174" s="3"/>
    </row>
    <row x14ac:dyDescent="0.25" r="175" customHeight="1" ht="18.75">
      <c r="A175" s="17"/>
      <c r="B175" s="17"/>
      <c r="C175" s="3"/>
      <c r="D175" s="3"/>
      <c r="E175" s="3"/>
      <c r="F175" s="3"/>
      <c r="G175" s="3"/>
      <c r="H175" s="3"/>
      <c r="I175" s="3"/>
      <c r="J175" s="3"/>
    </row>
    <row x14ac:dyDescent="0.25" r="176" customHeight="1" ht="18.75">
      <c r="A176" s="17"/>
      <c r="B176" s="17"/>
      <c r="C176" s="3"/>
      <c r="D176" s="3"/>
      <c r="E176" s="3"/>
      <c r="F176" s="3"/>
      <c r="G176" s="3"/>
      <c r="H176" s="3"/>
      <c r="I176" s="3"/>
      <c r="J176" s="3"/>
    </row>
    <row x14ac:dyDescent="0.25" r="177" customHeight="1" ht="18.75">
      <c r="A177" s="17"/>
      <c r="B177" s="17"/>
      <c r="C177" s="3"/>
      <c r="D177" s="3"/>
      <c r="E177" s="3"/>
      <c r="F177" s="3"/>
      <c r="G177" s="3"/>
      <c r="H177" s="3"/>
      <c r="I177" s="3"/>
      <c r="J177" s="3"/>
    </row>
    <row x14ac:dyDescent="0.25" r="178" customHeight="1" ht="18.75">
      <c r="A178" s="17"/>
      <c r="B178" s="17"/>
      <c r="C178" s="3"/>
      <c r="D178" s="3"/>
      <c r="E178" s="3"/>
      <c r="F178" s="3"/>
      <c r="G178" s="3"/>
      <c r="H178" s="3"/>
      <c r="I178" s="3"/>
      <c r="J178" s="3"/>
    </row>
    <row x14ac:dyDescent="0.25" r="179" customHeight="1" ht="18.75">
      <c r="A179" s="17"/>
      <c r="B179" s="17"/>
      <c r="C179" s="3"/>
      <c r="D179" s="3"/>
      <c r="E179" s="3"/>
      <c r="F179" s="3"/>
      <c r="G179" s="3"/>
      <c r="H179" s="3"/>
      <c r="I179" s="3"/>
      <c r="J179" s="3"/>
    </row>
    <row x14ac:dyDescent="0.25" r="180" customHeight="1" ht="18.75">
      <c r="A180" s="17"/>
      <c r="B180" s="17"/>
      <c r="C180" s="3"/>
      <c r="D180" s="3"/>
      <c r="E180" s="3"/>
      <c r="F180" s="3"/>
      <c r="G180" s="3"/>
      <c r="H180" s="3"/>
      <c r="I180" s="3"/>
      <c r="J180" s="3"/>
    </row>
    <row x14ac:dyDescent="0.25" r="181" customHeight="1" ht="18.75">
      <c r="A181" s="17"/>
      <c r="B181" s="17"/>
      <c r="C181" s="3"/>
      <c r="D181" s="3"/>
      <c r="E181" s="3"/>
      <c r="F181" s="3"/>
      <c r="G181" s="3"/>
      <c r="H181" s="3"/>
      <c r="I181" s="3"/>
      <c r="J181" s="3"/>
    </row>
    <row x14ac:dyDescent="0.25" r="182" customHeight="1" ht="18.75">
      <c r="A182" s="17"/>
      <c r="B182" s="17"/>
      <c r="C182" s="3"/>
      <c r="D182" s="3"/>
      <c r="E182" s="3"/>
      <c r="F182" s="3"/>
      <c r="G182" s="3"/>
      <c r="H182" s="3"/>
      <c r="I182" s="3"/>
      <c r="J182" s="3"/>
    </row>
    <row x14ac:dyDescent="0.25" r="183" customHeight="1" ht="18.75">
      <c r="A183" s="17"/>
      <c r="B183" s="17"/>
      <c r="C183" s="3"/>
      <c r="D183" s="3"/>
      <c r="E183" s="3"/>
      <c r="F183" s="3"/>
      <c r="G183" s="3"/>
      <c r="H183" s="3"/>
      <c r="I183" s="3"/>
      <c r="J183" s="3"/>
    </row>
    <row x14ac:dyDescent="0.25" r="184" customHeight="1" ht="18.75">
      <c r="A184" s="17"/>
      <c r="B184" s="17"/>
      <c r="C184" s="3"/>
      <c r="D184" s="3"/>
      <c r="E184" s="3"/>
      <c r="F184" s="3"/>
      <c r="G184" s="3"/>
      <c r="H184" s="3"/>
      <c r="I184" s="3"/>
      <c r="J184" s="3"/>
    </row>
    <row x14ac:dyDescent="0.25" r="185" customHeight="1" ht="18.75">
      <c r="A185" s="17"/>
      <c r="B185" s="17"/>
      <c r="C185" s="3"/>
      <c r="D185" s="3"/>
      <c r="E185" s="3"/>
      <c r="F185" s="3"/>
      <c r="G185" s="3"/>
      <c r="H185" s="3"/>
      <c r="I185" s="3"/>
      <c r="J185" s="3"/>
    </row>
    <row x14ac:dyDescent="0.25" r="186" customHeight="1" ht="18.75">
      <c r="A186" s="17"/>
      <c r="B186" s="17"/>
      <c r="C186" s="3"/>
      <c r="D186" s="3"/>
      <c r="E186" s="3"/>
      <c r="F186" s="3"/>
      <c r="G186" s="3"/>
      <c r="H186" s="3"/>
      <c r="I186" s="3"/>
      <c r="J186" s="3"/>
    </row>
    <row x14ac:dyDescent="0.25" r="187" customHeight="1" ht="18.75">
      <c r="A187" s="17"/>
      <c r="B187" s="17"/>
      <c r="C187" s="3"/>
      <c r="D187" s="3"/>
      <c r="E187" s="3"/>
      <c r="F187" s="3"/>
      <c r="G187" s="3"/>
      <c r="H187" s="3"/>
      <c r="I187" s="3"/>
      <c r="J187" s="3"/>
    </row>
    <row x14ac:dyDescent="0.25" r="188" customHeight="1" ht="18.75">
      <c r="A188" s="17"/>
      <c r="B188" s="17"/>
      <c r="C188" s="3"/>
      <c r="D188" s="3"/>
      <c r="E188" s="3"/>
      <c r="F188" s="3"/>
      <c r="G188" s="3"/>
      <c r="H188" s="3"/>
      <c r="I188" s="3"/>
      <c r="J188" s="3"/>
    </row>
    <row x14ac:dyDescent="0.25" r="189" customHeight="1" ht="18.75">
      <c r="A189" s="17"/>
      <c r="B189" s="17"/>
      <c r="C189" s="3"/>
      <c r="D189" s="3"/>
      <c r="E189" s="3"/>
      <c r="F189" s="3"/>
      <c r="G189" s="3"/>
      <c r="H189" s="3"/>
      <c r="I189" s="3"/>
      <c r="J189" s="3"/>
    </row>
    <row x14ac:dyDescent="0.25" r="190" customHeight="1" ht="18.75">
      <c r="A190" s="17"/>
      <c r="B190" s="17"/>
      <c r="C190" s="3"/>
      <c r="D190" s="3"/>
      <c r="E190" s="3"/>
      <c r="F190" s="3"/>
      <c r="G190" s="3"/>
      <c r="H190" s="3"/>
      <c r="I190" s="3"/>
      <c r="J190" s="3"/>
    </row>
    <row x14ac:dyDescent="0.25" r="191" customHeight="1" ht="18.75">
      <c r="A191" s="17"/>
      <c r="B191" s="17"/>
      <c r="C191" s="3"/>
      <c r="D191" s="3"/>
      <c r="E191" s="3"/>
      <c r="F191" s="3"/>
      <c r="G191" s="3"/>
      <c r="H191" s="3"/>
      <c r="I191" s="3"/>
      <c r="J191" s="3"/>
    </row>
    <row x14ac:dyDescent="0.25" r="192" customHeight="1" ht="18.75">
      <c r="A192" s="17"/>
      <c r="B192" s="17"/>
      <c r="C192" s="3"/>
      <c r="D192" s="3"/>
      <c r="E192" s="3"/>
      <c r="F192" s="3"/>
      <c r="G192" s="3"/>
      <c r="H192" s="3"/>
      <c r="I192" s="3"/>
      <c r="J192" s="3"/>
    </row>
    <row x14ac:dyDescent="0.25" r="193" customHeight="1" ht="18.75">
      <c r="A193" s="17"/>
      <c r="B193" s="17"/>
      <c r="C193" s="3"/>
      <c r="D193" s="3"/>
      <c r="E193" s="3"/>
      <c r="F193" s="3"/>
      <c r="G193" s="3"/>
      <c r="H193" s="3"/>
      <c r="I193" s="3"/>
      <c r="J193" s="3"/>
    </row>
    <row x14ac:dyDescent="0.25" r="194" customHeight="1" ht="18.75">
      <c r="A194" s="17"/>
      <c r="B194" s="17"/>
      <c r="C194" s="3"/>
      <c r="D194" s="3"/>
      <c r="E194" s="3"/>
      <c r="F194" s="3"/>
      <c r="G194" s="3"/>
      <c r="H194" s="3"/>
      <c r="I194" s="3"/>
      <c r="J194" s="3"/>
    </row>
    <row x14ac:dyDescent="0.25" r="195" customHeight="1" ht="18.75">
      <c r="A195" s="17"/>
      <c r="B195" s="17"/>
      <c r="C195" s="3"/>
      <c r="D195" s="3"/>
      <c r="E195" s="3"/>
      <c r="F195" s="3"/>
      <c r="G195" s="3"/>
      <c r="H195" s="3"/>
      <c r="I195" s="3"/>
      <c r="J195" s="3"/>
    </row>
    <row x14ac:dyDescent="0.25" r="196" customHeight="1" ht="18.75">
      <c r="A196" s="17"/>
      <c r="B196" s="17"/>
      <c r="C196" s="3"/>
      <c r="D196" s="3"/>
      <c r="E196" s="3"/>
      <c r="F196" s="3"/>
      <c r="G196" s="3"/>
      <c r="H196" s="3"/>
      <c r="I196" s="3"/>
      <c r="J196" s="3"/>
    </row>
    <row x14ac:dyDescent="0.25" r="197" customHeight="1" ht="18.75">
      <c r="A197" s="17"/>
      <c r="B197" s="17"/>
      <c r="C197" s="3"/>
      <c r="D197" s="3"/>
      <c r="E197" s="3"/>
      <c r="F197" s="3"/>
      <c r="G197" s="3"/>
      <c r="H197" s="3"/>
      <c r="I197" s="3"/>
      <c r="J197" s="3"/>
    </row>
    <row x14ac:dyDescent="0.25" r="198" customHeight="1" ht="18.75">
      <c r="A198" s="17"/>
      <c r="B198" s="17"/>
      <c r="C198" s="3"/>
      <c r="D198" s="3"/>
      <c r="E198" s="3"/>
      <c r="F198" s="3"/>
      <c r="G198" s="3"/>
      <c r="H198" s="3"/>
      <c r="I198" s="3"/>
      <c r="J198" s="3"/>
    </row>
    <row x14ac:dyDescent="0.25" r="199" customHeight="1" ht="18.75">
      <c r="A199" s="17"/>
      <c r="B199" s="17"/>
      <c r="C199" s="3"/>
      <c r="D199" s="3"/>
      <c r="E199" s="3"/>
      <c r="F199" s="3"/>
      <c r="G199" s="3"/>
      <c r="H199" s="3"/>
      <c r="I199" s="3"/>
      <c r="J199" s="3"/>
    </row>
    <row x14ac:dyDescent="0.25" r="200" customHeight="1" ht="18.75">
      <c r="A200" s="17"/>
      <c r="B200" s="17"/>
      <c r="C200" s="3"/>
      <c r="D200" s="3"/>
      <c r="E200" s="3"/>
      <c r="F200" s="3"/>
      <c r="G200" s="3"/>
      <c r="H200" s="3"/>
      <c r="I200" s="3"/>
      <c r="J200" s="3"/>
    </row>
    <row x14ac:dyDescent="0.25" r="201" customHeight="1" ht="18.75">
      <c r="A201" s="17"/>
      <c r="B201" s="17"/>
      <c r="C201" s="3"/>
      <c r="D201" s="3"/>
      <c r="E201" s="3"/>
      <c r="F201" s="3"/>
      <c r="G201" s="3"/>
      <c r="H201" s="3"/>
      <c r="I201" s="3"/>
      <c r="J201" s="3"/>
    </row>
    <row x14ac:dyDescent="0.25" r="202" customHeight="1" ht="18.75">
      <c r="A202" s="17"/>
      <c r="B202" s="17"/>
      <c r="C202" s="3"/>
      <c r="D202" s="3"/>
      <c r="E202" s="3"/>
      <c r="F202" s="3"/>
      <c r="G202" s="3"/>
      <c r="H202" s="3"/>
      <c r="I202" s="3"/>
      <c r="J202" s="3"/>
    </row>
    <row x14ac:dyDescent="0.25" r="203" customHeight="1" ht="18.75">
      <c r="A203" s="17"/>
      <c r="B203" s="17"/>
      <c r="C203" s="3"/>
      <c r="D203" s="3"/>
      <c r="E203" s="3"/>
      <c r="F203" s="3"/>
      <c r="G203" s="3"/>
      <c r="H203" s="3"/>
      <c r="I203" s="3"/>
      <c r="J203" s="3"/>
    </row>
    <row x14ac:dyDescent="0.25" r="204" customHeight="1" ht="18.75">
      <c r="A204" s="17"/>
      <c r="B204" s="17"/>
      <c r="C204" s="3"/>
      <c r="D204" s="3"/>
      <c r="E204" s="3"/>
      <c r="F204" s="3"/>
      <c r="G204" s="3"/>
      <c r="H204" s="3"/>
      <c r="I204" s="3"/>
      <c r="J204" s="3"/>
    </row>
    <row x14ac:dyDescent="0.25" r="205" customHeight="1" ht="18.75">
      <c r="A205" s="17"/>
      <c r="B205" s="17"/>
      <c r="C205" s="3"/>
      <c r="D205" s="3"/>
      <c r="E205" s="3"/>
      <c r="F205" s="3"/>
      <c r="G205" s="3"/>
      <c r="H205" s="3"/>
      <c r="I205" s="3"/>
      <c r="J205" s="3"/>
    </row>
    <row x14ac:dyDescent="0.25" r="206" customHeight="1" ht="18.75">
      <c r="A206" s="17"/>
      <c r="B206" s="17"/>
      <c r="C206" s="3"/>
      <c r="D206" s="3"/>
      <c r="E206" s="3"/>
      <c r="F206" s="3"/>
      <c r="G206" s="3"/>
      <c r="H206" s="3"/>
      <c r="I206" s="3"/>
      <c r="J206" s="3"/>
    </row>
    <row x14ac:dyDescent="0.25" r="207" customHeight="1" ht="18.75">
      <c r="A207" s="17"/>
      <c r="B207" s="17"/>
      <c r="C207" s="3"/>
      <c r="D207" s="3"/>
      <c r="E207" s="3"/>
      <c r="F207" s="3"/>
      <c r="G207" s="3"/>
      <c r="H207" s="3"/>
      <c r="I207" s="3"/>
      <c r="J207" s="3"/>
    </row>
    <row x14ac:dyDescent="0.25" r="208" customHeight="1" ht="18.75">
      <c r="A208" s="17"/>
      <c r="B208" s="17"/>
      <c r="C208" s="3"/>
      <c r="D208" s="3"/>
      <c r="E208" s="3"/>
      <c r="F208" s="3"/>
      <c r="G208" s="3"/>
      <c r="H208" s="3"/>
      <c r="I208" s="3"/>
      <c r="J208" s="3"/>
    </row>
    <row x14ac:dyDescent="0.25" r="209" customHeight="1" ht="18.75">
      <c r="A209" s="17"/>
      <c r="B209" s="17"/>
      <c r="C209" s="3"/>
      <c r="D209" s="3"/>
      <c r="E209" s="3"/>
      <c r="F209" s="3"/>
      <c r="G209" s="3"/>
      <c r="H209" s="3"/>
      <c r="I209" s="3"/>
      <c r="J209" s="3"/>
    </row>
    <row x14ac:dyDescent="0.25" r="210" customHeight="1" ht="18.75">
      <c r="A210" s="17"/>
      <c r="B210" s="17"/>
      <c r="C210" s="3"/>
      <c r="D210" s="3"/>
      <c r="E210" s="3"/>
      <c r="F210" s="3"/>
      <c r="G210" s="3"/>
      <c r="H210" s="3"/>
      <c r="I210" s="3"/>
      <c r="J210" s="3"/>
    </row>
    <row x14ac:dyDescent="0.25" r="211" customHeight="1" ht="18.75">
      <c r="A211" s="17"/>
      <c r="B211" s="17"/>
      <c r="C211" s="3"/>
      <c r="D211" s="3"/>
      <c r="E211" s="3"/>
      <c r="F211" s="3"/>
      <c r="G211" s="3"/>
      <c r="H211" s="3"/>
      <c r="I211" s="3"/>
      <c r="J211" s="3"/>
    </row>
    <row x14ac:dyDescent="0.25" r="212" customHeight="1" ht="18.75">
      <c r="A212" s="17"/>
      <c r="B212" s="17"/>
      <c r="C212" s="3"/>
      <c r="D212" s="3"/>
      <c r="E212" s="3"/>
      <c r="F212" s="3"/>
      <c r="G212" s="3"/>
      <c r="H212" s="3"/>
      <c r="I212" s="3"/>
      <c r="J212" s="3"/>
    </row>
    <row x14ac:dyDescent="0.25" r="213" customHeight="1" ht="18.75">
      <c r="A213" s="17"/>
      <c r="B213" s="17"/>
      <c r="C213" s="3"/>
      <c r="D213" s="3"/>
      <c r="E213" s="3"/>
      <c r="F213" s="3"/>
      <c r="G213" s="3"/>
      <c r="H213" s="3"/>
      <c r="I213" s="3"/>
      <c r="J213" s="3"/>
    </row>
    <row x14ac:dyDescent="0.25" r="214" customHeight="1" ht="18.75">
      <c r="A214" s="17"/>
      <c r="B214" s="17"/>
      <c r="C214" s="3"/>
      <c r="D214" s="3"/>
      <c r="E214" s="3"/>
      <c r="F214" s="3"/>
      <c r="G214" s="3"/>
      <c r="H214" s="3"/>
      <c r="I214" s="3"/>
      <c r="J214" s="3"/>
    </row>
    <row x14ac:dyDescent="0.25" r="215" customHeight="1" ht="18.75">
      <c r="A215" s="17"/>
      <c r="B215" s="17"/>
      <c r="C215" s="3"/>
      <c r="D215" s="3"/>
      <c r="E215" s="3"/>
      <c r="F215" s="3"/>
      <c r="G215" s="3"/>
      <c r="H215" s="3"/>
      <c r="I215" s="3"/>
      <c r="J215" s="3"/>
    </row>
    <row x14ac:dyDescent="0.25" r="216" customHeight="1" ht="18.75">
      <c r="A216" s="17"/>
      <c r="B216" s="17"/>
      <c r="C216" s="3"/>
      <c r="D216" s="3"/>
      <c r="E216" s="3"/>
      <c r="F216" s="3"/>
      <c r="G216" s="3"/>
      <c r="H216" s="3"/>
      <c r="I216" s="3"/>
      <c r="J216" s="3"/>
    </row>
    <row x14ac:dyDescent="0.25" r="217" customHeight="1" ht="18.75">
      <c r="A217" s="17"/>
      <c r="B217" s="17"/>
      <c r="C217" s="3"/>
      <c r="D217" s="3"/>
      <c r="E217" s="3"/>
      <c r="F217" s="3"/>
      <c r="G217" s="3"/>
      <c r="H217" s="3"/>
      <c r="I217" s="3"/>
      <c r="J217" s="3"/>
    </row>
    <row x14ac:dyDescent="0.25" r="218" customHeight="1" ht="18.75">
      <c r="A218" s="17"/>
      <c r="B218" s="17"/>
      <c r="C218" s="3"/>
      <c r="D218" s="3"/>
      <c r="E218" s="3"/>
      <c r="F218" s="3"/>
      <c r="G218" s="3"/>
      <c r="H218" s="3"/>
      <c r="I218" s="3"/>
      <c r="J218" s="3"/>
    </row>
    <row x14ac:dyDescent="0.25" r="219" customHeight="1" ht="18.75">
      <c r="A219" s="17"/>
      <c r="B219" s="17"/>
      <c r="C219" s="3"/>
      <c r="D219" s="3"/>
      <c r="E219" s="3"/>
      <c r="F219" s="3"/>
      <c r="G219" s="3"/>
      <c r="H219" s="3"/>
      <c r="I219" s="3"/>
      <c r="J219" s="3"/>
    </row>
    <row x14ac:dyDescent="0.25" r="220" customHeight="1" ht="18.75">
      <c r="A220" s="17"/>
      <c r="B220" s="17"/>
      <c r="C220" s="3"/>
      <c r="D220" s="3"/>
      <c r="E220" s="3"/>
      <c r="F220" s="3"/>
      <c r="G220" s="3"/>
      <c r="H220" s="3"/>
      <c r="I220" s="3"/>
      <c r="J220" s="3"/>
    </row>
    <row x14ac:dyDescent="0.25" r="221" customHeight="1" ht="18.75">
      <c r="A221" s="17"/>
      <c r="B221" s="17"/>
      <c r="C221" s="3"/>
      <c r="D221" s="3"/>
      <c r="E221" s="3"/>
      <c r="F221" s="3"/>
      <c r="G221" s="3"/>
      <c r="H221" s="3"/>
      <c r="I221" s="3"/>
      <c r="J221" s="3"/>
    </row>
    <row x14ac:dyDescent="0.25" r="222" customHeight="1" ht="18.75">
      <c r="A222" s="17"/>
      <c r="B222" s="17"/>
      <c r="C222" s="3"/>
      <c r="D222" s="3"/>
      <c r="E222" s="3"/>
      <c r="F222" s="3"/>
      <c r="G222" s="3"/>
      <c r="H222" s="3"/>
      <c r="I222" s="3"/>
      <c r="J222" s="3"/>
    </row>
    <row x14ac:dyDescent="0.25" r="223" customHeight="1" ht="18.75">
      <c r="A223" s="17"/>
      <c r="B223" s="17"/>
      <c r="C223" s="3"/>
      <c r="D223" s="3"/>
      <c r="E223" s="3"/>
      <c r="F223" s="3"/>
      <c r="G223" s="3"/>
      <c r="H223" s="3"/>
      <c r="I223" s="3"/>
      <c r="J223" s="3"/>
    </row>
    <row x14ac:dyDescent="0.25" r="224" customHeight="1" ht="18.75">
      <c r="A224" s="17"/>
      <c r="B224" s="17"/>
      <c r="C224" s="3"/>
      <c r="D224" s="3"/>
      <c r="E224" s="3"/>
      <c r="F224" s="3"/>
      <c r="G224" s="3"/>
      <c r="H224" s="3"/>
      <c r="I224" s="3"/>
      <c r="J224" s="3"/>
    </row>
    <row x14ac:dyDescent="0.25" r="225" customHeight="1" ht="18.75">
      <c r="A225" s="17"/>
      <c r="B225" s="17"/>
      <c r="C225" s="3"/>
      <c r="D225" s="3"/>
      <c r="E225" s="3"/>
      <c r="F225" s="3"/>
      <c r="G225" s="3"/>
      <c r="H225" s="3"/>
      <c r="I225" s="3"/>
      <c r="J225" s="3"/>
    </row>
    <row x14ac:dyDescent="0.25" r="226" customHeight="1" ht="18.75">
      <c r="A226" s="17"/>
      <c r="B226" s="17"/>
      <c r="C226" s="3"/>
      <c r="D226" s="3"/>
      <c r="E226" s="3"/>
      <c r="F226" s="3"/>
      <c r="G226" s="3"/>
      <c r="H226" s="3"/>
      <c r="I226" s="3"/>
      <c r="J226" s="3"/>
    </row>
    <row x14ac:dyDescent="0.25" r="227" customHeight="1" ht="18.75">
      <c r="A227" s="17"/>
      <c r="B227" s="17"/>
      <c r="C227" s="3"/>
      <c r="D227" s="3"/>
      <c r="E227" s="3"/>
      <c r="F227" s="3"/>
      <c r="G227" s="3"/>
      <c r="H227" s="3"/>
      <c r="I227" s="3"/>
      <c r="J227" s="3"/>
    </row>
    <row x14ac:dyDescent="0.25" r="228" customHeight="1" ht="18.75">
      <c r="A228" s="17"/>
      <c r="B228" s="17"/>
      <c r="C228" s="3"/>
      <c r="D228" s="3"/>
      <c r="E228" s="3"/>
      <c r="F228" s="3"/>
      <c r="G228" s="3"/>
      <c r="H228" s="3"/>
      <c r="I228" s="3"/>
      <c r="J228" s="3"/>
    </row>
    <row x14ac:dyDescent="0.25" r="229" customHeight="1" ht="18.75">
      <c r="A229" s="17"/>
      <c r="B229" s="17"/>
      <c r="C229" s="3"/>
      <c r="D229" s="3"/>
      <c r="E229" s="3"/>
      <c r="F229" s="3"/>
      <c r="G229" s="3"/>
      <c r="H229" s="3"/>
      <c r="I229" s="3"/>
      <c r="J229" s="3"/>
    </row>
    <row x14ac:dyDescent="0.25" r="230" customHeight="1" ht="18.75">
      <c r="A230" s="17"/>
      <c r="B230" s="17"/>
      <c r="C230" s="3"/>
      <c r="D230" s="3"/>
      <c r="E230" s="3"/>
      <c r="F230" s="3"/>
      <c r="G230" s="3"/>
      <c r="H230" s="3"/>
      <c r="I230" s="3"/>
      <c r="J230" s="3"/>
    </row>
    <row x14ac:dyDescent="0.25" r="231" customHeight="1" ht="18.75">
      <c r="A231" s="17"/>
      <c r="B231" s="17"/>
      <c r="C231" s="3"/>
      <c r="D231" s="3"/>
      <c r="E231" s="3"/>
      <c r="F231" s="3"/>
      <c r="G231" s="3"/>
      <c r="H231" s="3"/>
      <c r="I231" s="3"/>
      <c r="J231" s="3"/>
    </row>
    <row x14ac:dyDescent="0.25" r="232" customHeight="1" ht="18.75">
      <c r="A232" s="17"/>
      <c r="B232" s="17"/>
      <c r="C232" s="3"/>
      <c r="D232" s="3"/>
      <c r="E232" s="3"/>
      <c r="F232" s="3"/>
      <c r="G232" s="3"/>
      <c r="H232" s="3"/>
      <c r="I232" s="3"/>
      <c r="J232" s="3"/>
    </row>
    <row x14ac:dyDescent="0.25" r="233" customHeight="1" ht="18.75">
      <c r="A233" s="17"/>
      <c r="B233" s="17"/>
      <c r="C233" s="3"/>
      <c r="D233" s="3"/>
      <c r="E233" s="3"/>
      <c r="F233" s="3"/>
      <c r="G233" s="3"/>
      <c r="H233" s="3"/>
      <c r="I233" s="3"/>
      <c r="J233" s="3"/>
    </row>
    <row x14ac:dyDescent="0.25" r="234" customHeight="1" ht="18.75">
      <c r="A234" s="17"/>
      <c r="B234" s="17"/>
      <c r="C234" s="3"/>
      <c r="D234" s="3"/>
      <c r="E234" s="3"/>
      <c r="F234" s="3"/>
      <c r="G234" s="3"/>
      <c r="H234" s="3"/>
      <c r="I234" s="3"/>
      <c r="J234" s="3"/>
    </row>
    <row x14ac:dyDescent="0.25" r="235" customHeight="1" ht="18.75">
      <c r="A235" s="17"/>
      <c r="B235" s="17"/>
      <c r="C235" s="3"/>
      <c r="D235" s="3"/>
      <c r="E235" s="3"/>
      <c r="F235" s="3"/>
      <c r="G235" s="3"/>
      <c r="H235" s="3"/>
      <c r="I235" s="3"/>
      <c r="J235" s="3"/>
    </row>
    <row x14ac:dyDescent="0.25" r="236" customHeight="1" ht="18.75">
      <c r="A236" s="17"/>
      <c r="B236" s="17"/>
      <c r="C236" s="3"/>
      <c r="D236" s="3"/>
      <c r="E236" s="3"/>
      <c r="F236" s="3"/>
      <c r="G236" s="3"/>
      <c r="H236" s="3"/>
      <c r="I236" s="3"/>
      <c r="J236" s="3"/>
    </row>
    <row x14ac:dyDescent="0.25" r="237" customHeight="1" ht="18.75">
      <c r="A237" s="17"/>
      <c r="B237" s="17"/>
      <c r="C237" s="3"/>
      <c r="D237" s="3"/>
      <c r="E237" s="3"/>
      <c r="F237" s="3"/>
      <c r="G237" s="3"/>
      <c r="H237" s="3"/>
      <c r="I237" s="3"/>
      <c r="J237" s="3"/>
    </row>
    <row x14ac:dyDescent="0.25" r="238" customHeight="1" ht="18.75">
      <c r="A238" s="17"/>
      <c r="B238" s="17"/>
      <c r="C238" s="3"/>
      <c r="D238" s="3"/>
      <c r="E238" s="3"/>
      <c r="F238" s="3"/>
      <c r="G238" s="3"/>
      <c r="H238" s="3"/>
      <c r="I238" s="3"/>
      <c r="J238" s="3"/>
    </row>
    <row x14ac:dyDescent="0.25" r="239" customHeight="1" ht="18.75">
      <c r="A239" s="17"/>
      <c r="B239" s="17"/>
      <c r="C239" s="3"/>
      <c r="D239" s="3"/>
      <c r="E239" s="3"/>
      <c r="F239" s="3"/>
      <c r="G239" s="3"/>
      <c r="H239" s="3"/>
      <c r="I239" s="3"/>
      <c r="J239" s="3"/>
    </row>
    <row x14ac:dyDescent="0.25" r="240" customHeight="1" ht="18.75">
      <c r="A240" s="17"/>
      <c r="B240" s="17"/>
      <c r="C240" s="3"/>
      <c r="D240" s="3"/>
      <c r="E240" s="3"/>
      <c r="F240" s="3"/>
      <c r="G240" s="3"/>
      <c r="H240" s="3"/>
      <c r="I240" s="3"/>
      <c r="J240" s="3"/>
    </row>
    <row x14ac:dyDescent="0.25" r="241" customHeight="1" ht="18.75">
      <c r="A241" s="17"/>
      <c r="B241" s="17"/>
      <c r="C241" s="3"/>
      <c r="D241" s="3"/>
      <c r="E241" s="3"/>
      <c r="F241" s="3"/>
      <c r="G241" s="3"/>
      <c r="H241" s="3"/>
      <c r="I241" s="3"/>
      <c r="J241" s="3"/>
    </row>
    <row x14ac:dyDescent="0.25" r="242" customHeight="1" ht="18.75">
      <c r="A242" s="17"/>
      <c r="B242" s="17"/>
      <c r="C242" s="3"/>
      <c r="D242" s="3"/>
      <c r="E242" s="3"/>
      <c r="F242" s="3"/>
      <c r="G242" s="3"/>
      <c r="H242" s="3"/>
      <c r="I242" s="3"/>
      <c r="J242" s="3"/>
    </row>
    <row x14ac:dyDescent="0.25" r="243" customHeight="1" ht="18.75">
      <c r="A243" s="17"/>
      <c r="B243" s="17"/>
      <c r="C243" s="3"/>
      <c r="D243" s="3"/>
      <c r="E243" s="3"/>
      <c r="F243" s="3"/>
      <c r="G243" s="3"/>
      <c r="H243" s="3"/>
      <c r="I243" s="3"/>
      <c r="J243" s="3"/>
    </row>
    <row x14ac:dyDescent="0.25" r="244" customHeight="1" ht="18.75">
      <c r="A244" s="17"/>
      <c r="B244" s="17"/>
      <c r="C244" s="3"/>
      <c r="D244" s="3"/>
      <c r="E244" s="3"/>
      <c r="F244" s="3"/>
      <c r="G244" s="3"/>
      <c r="H244" s="3"/>
      <c r="I244" s="3"/>
      <c r="J244" s="3"/>
    </row>
    <row x14ac:dyDescent="0.25" r="245" customHeight="1" ht="18.75">
      <c r="A245" s="17"/>
      <c r="B245" s="17"/>
      <c r="C245" s="3"/>
      <c r="D245" s="3"/>
      <c r="E245" s="3"/>
      <c r="F245" s="3"/>
      <c r="G245" s="3"/>
      <c r="H245" s="3"/>
      <c r="I245" s="3"/>
      <c r="J245" s="3"/>
    </row>
    <row x14ac:dyDescent="0.25" r="246" customHeight="1" ht="18.75">
      <c r="A246" s="17"/>
      <c r="B246" s="17"/>
      <c r="C246" s="3"/>
      <c r="D246" s="3"/>
      <c r="E246" s="3"/>
      <c r="F246" s="3"/>
      <c r="G246" s="3"/>
      <c r="H246" s="3"/>
      <c r="I246" s="3"/>
      <c r="J246" s="3"/>
    </row>
    <row x14ac:dyDescent="0.25" r="247" customHeight="1" ht="18.75">
      <c r="A247" s="17"/>
      <c r="B247" s="17"/>
      <c r="C247" s="3"/>
      <c r="D247" s="3"/>
      <c r="E247" s="3"/>
      <c r="F247" s="3"/>
      <c r="G247" s="3"/>
      <c r="H247" s="3"/>
      <c r="I247" s="3"/>
      <c r="J247" s="3"/>
    </row>
    <row x14ac:dyDescent="0.25" r="248" customHeight="1" ht="18.75">
      <c r="A248" s="17"/>
      <c r="B248" s="17"/>
      <c r="C248" s="3"/>
      <c r="D248" s="3"/>
      <c r="E248" s="3"/>
      <c r="F248" s="3"/>
      <c r="G248" s="3"/>
      <c r="H248" s="3"/>
      <c r="I248" s="3"/>
      <c r="J248" s="3"/>
    </row>
    <row x14ac:dyDescent="0.25" r="249" customHeight="1" ht="18.75">
      <c r="A249" s="17"/>
      <c r="B249" s="17"/>
      <c r="C249" s="3"/>
      <c r="D249" s="3"/>
      <c r="E249" s="3"/>
      <c r="F249" s="3"/>
      <c r="G249" s="3"/>
      <c r="H249" s="3"/>
      <c r="I249" s="3"/>
      <c r="J249" s="3"/>
    </row>
    <row x14ac:dyDescent="0.25" r="250" customHeight="1" ht="18.75">
      <c r="A250" s="17"/>
      <c r="B250" s="17"/>
      <c r="C250" s="3"/>
      <c r="D250" s="3"/>
      <c r="E250" s="3"/>
      <c r="F250" s="3"/>
      <c r="G250" s="3"/>
      <c r="H250" s="3"/>
      <c r="I250" s="3"/>
      <c r="J250" s="3"/>
    </row>
    <row x14ac:dyDescent="0.25" r="251" customHeight="1" ht="18.75">
      <c r="A251" s="17"/>
      <c r="B251" s="17"/>
      <c r="C251" s="3"/>
      <c r="D251" s="3"/>
      <c r="E251" s="3"/>
      <c r="F251" s="3"/>
      <c r="G251" s="3"/>
      <c r="H251" s="3"/>
      <c r="I251" s="3"/>
      <c r="J251" s="3"/>
    </row>
    <row x14ac:dyDescent="0.25" r="252" customHeight="1" ht="18.75">
      <c r="A252" s="17"/>
      <c r="B252" s="17"/>
      <c r="C252" s="3"/>
      <c r="D252" s="3"/>
      <c r="E252" s="3"/>
      <c r="F252" s="3"/>
      <c r="G252" s="3"/>
      <c r="H252" s="3"/>
      <c r="I252" s="3"/>
      <c r="J252" s="3"/>
    </row>
    <row x14ac:dyDescent="0.25" r="253" customHeight="1" ht="18.75">
      <c r="A253" s="17"/>
      <c r="B253" s="17"/>
      <c r="C253" s="3"/>
      <c r="D253" s="3"/>
      <c r="E253" s="3"/>
      <c r="F253" s="3"/>
      <c r="G253" s="3"/>
      <c r="H253" s="3"/>
      <c r="I253" s="3"/>
      <c r="J253" s="3"/>
    </row>
    <row x14ac:dyDescent="0.25" r="254" customHeight="1" ht="18.75">
      <c r="A254" s="17"/>
      <c r="B254" s="17"/>
      <c r="C254" s="3"/>
      <c r="D254" s="3"/>
      <c r="E254" s="3"/>
      <c r="F254" s="3"/>
      <c r="G254" s="3"/>
      <c r="H254" s="3"/>
      <c r="I254" s="3"/>
      <c r="J254" s="3"/>
    </row>
    <row x14ac:dyDescent="0.25" r="255" customHeight="1" ht="18.75">
      <c r="A255" s="17"/>
      <c r="B255" s="17"/>
      <c r="C255" s="3"/>
      <c r="D255" s="3"/>
      <c r="E255" s="3"/>
      <c r="F255" s="3"/>
      <c r="G255" s="3"/>
      <c r="H255" s="3"/>
      <c r="I255" s="3"/>
      <c r="J255" s="3"/>
    </row>
    <row x14ac:dyDescent="0.25" r="256" customHeight="1" ht="18.75">
      <c r="A256" s="17"/>
      <c r="B256" s="17"/>
      <c r="C256" s="3"/>
      <c r="D256" s="3"/>
      <c r="E256" s="3"/>
      <c r="F256" s="3"/>
      <c r="G256" s="3"/>
      <c r="H256" s="3"/>
      <c r="I256" s="3"/>
      <c r="J256" s="3"/>
    </row>
    <row x14ac:dyDescent="0.25" r="257" customHeight="1" ht="18.75">
      <c r="A257" s="17"/>
      <c r="B257" s="17"/>
      <c r="C257" s="3"/>
      <c r="D257" s="3"/>
      <c r="E257" s="3"/>
      <c r="F257" s="3"/>
      <c r="G257" s="3"/>
      <c r="H257" s="3"/>
      <c r="I257" s="3"/>
      <c r="J257" s="3"/>
    </row>
    <row x14ac:dyDescent="0.25" r="258" customHeight="1" ht="18.75">
      <c r="A258" s="17"/>
      <c r="B258" s="17"/>
      <c r="C258" s="3"/>
      <c r="D258" s="3"/>
      <c r="E258" s="3"/>
      <c r="F258" s="3"/>
      <c r="G258" s="3"/>
      <c r="H258" s="3"/>
      <c r="I258" s="3"/>
      <c r="J258" s="3"/>
    </row>
    <row x14ac:dyDescent="0.25" r="259" customHeight="1" ht="18.75">
      <c r="A259" s="17"/>
      <c r="B259" s="17"/>
      <c r="C259" s="3"/>
      <c r="D259" s="3"/>
      <c r="E259" s="3"/>
      <c r="F259" s="3"/>
      <c r="G259" s="3"/>
      <c r="H259" s="3"/>
      <c r="I259" s="3"/>
      <c r="J259" s="3"/>
    </row>
    <row x14ac:dyDescent="0.25" r="260" customHeight="1" ht="18.75">
      <c r="A260" s="17"/>
      <c r="B260" s="17"/>
      <c r="C260" s="3"/>
      <c r="D260" s="3"/>
      <c r="E260" s="3"/>
      <c r="F260" s="3"/>
      <c r="G260" s="3"/>
      <c r="H260" s="3"/>
      <c r="I260" s="3"/>
      <c r="J260" s="3"/>
    </row>
    <row x14ac:dyDescent="0.25" r="261" customHeight="1" ht="18.75">
      <c r="A261" s="17"/>
      <c r="B261" s="17"/>
      <c r="C261" s="3"/>
      <c r="D261" s="3"/>
      <c r="E261" s="3"/>
      <c r="F261" s="3"/>
      <c r="G261" s="3"/>
      <c r="H261" s="3"/>
      <c r="I261" s="3"/>
      <c r="J261" s="3"/>
    </row>
    <row x14ac:dyDescent="0.25" r="262" customHeight="1" ht="18.75">
      <c r="A262" s="17"/>
      <c r="B262" s="17"/>
      <c r="C262" s="3"/>
      <c r="D262" s="3"/>
      <c r="E262" s="3"/>
      <c r="F262" s="3"/>
      <c r="G262" s="3"/>
      <c r="H262" s="3"/>
      <c r="I262" s="3"/>
      <c r="J262" s="3"/>
    </row>
    <row x14ac:dyDescent="0.25" r="263" customHeight="1" ht="18.75">
      <c r="A263" s="17"/>
      <c r="B263" s="17"/>
      <c r="C263" s="3"/>
      <c r="D263" s="3"/>
      <c r="E263" s="3"/>
      <c r="F263" s="3"/>
      <c r="G263" s="3"/>
      <c r="H263" s="3"/>
      <c r="I263" s="3"/>
      <c r="J263" s="3"/>
    </row>
    <row x14ac:dyDescent="0.25" r="264" customHeight="1" ht="18.75">
      <c r="A264" s="17"/>
      <c r="B264" s="17"/>
      <c r="C264" s="3"/>
      <c r="D264" s="3"/>
      <c r="E264" s="3"/>
      <c r="F264" s="3"/>
      <c r="G264" s="3"/>
      <c r="H264" s="3"/>
      <c r="I264" s="3"/>
      <c r="J264" s="3"/>
    </row>
    <row x14ac:dyDescent="0.25" r="265" customHeight="1" ht="18.75">
      <c r="A265" s="17"/>
      <c r="B265" s="17"/>
      <c r="C265" s="3"/>
      <c r="D265" s="3"/>
      <c r="E265" s="3"/>
      <c r="F265" s="3"/>
      <c r="G265" s="3"/>
      <c r="H265" s="3"/>
      <c r="I265" s="3"/>
      <c r="J265" s="3"/>
    </row>
    <row x14ac:dyDescent="0.25" r="266" customHeight="1" ht="18.75">
      <c r="A266" s="17"/>
      <c r="B266" s="17"/>
      <c r="C266" s="3"/>
      <c r="D266" s="3"/>
      <c r="E266" s="3"/>
      <c r="F266" s="3"/>
      <c r="G266" s="3"/>
      <c r="H266" s="3"/>
      <c r="I266" s="3"/>
      <c r="J266" s="3"/>
    </row>
    <row x14ac:dyDescent="0.25" r="267" customHeight="1" ht="18.75">
      <c r="A267" s="17"/>
      <c r="B267" s="17"/>
      <c r="C267" s="3"/>
      <c r="D267" s="3"/>
      <c r="E267" s="3"/>
      <c r="F267" s="3"/>
      <c r="G267" s="3"/>
      <c r="H267" s="3"/>
      <c r="I267" s="3"/>
      <c r="J267" s="3"/>
    </row>
    <row x14ac:dyDescent="0.25" r="268" customHeight="1" ht="18.75">
      <c r="A268" s="17"/>
      <c r="B268" s="17"/>
      <c r="C268" s="3"/>
      <c r="D268" s="3"/>
      <c r="E268" s="3"/>
      <c r="F268" s="3"/>
      <c r="G268" s="3"/>
      <c r="H268" s="3"/>
      <c r="I268" s="3"/>
      <c r="J268" s="3"/>
    </row>
    <row x14ac:dyDescent="0.25" r="269" customHeight="1" ht="18.75">
      <c r="A269" s="17"/>
      <c r="B269" s="17"/>
      <c r="C269" s="3"/>
      <c r="D269" s="3"/>
      <c r="E269" s="3"/>
      <c r="F269" s="3"/>
      <c r="G269" s="3"/>
      <c r="H269" s="3"/>
      <c r="I269" s="3"/>
      <c r="J269" s="3"/>
    </row>
    <row x14ac:dyDescent="0.25" r="270" customHeight="1" ht="18.75">
      <c r="A270" s="17"/>
      <c r="B270" s="17"/>
      <c r="C270" s="3"/>
      <c r="D270" s="3"/>
      <c r="E270" s="3"/>
      <c r="F270" s="3"/>
      <c r="G270" s="3"/>
      <c r="H270" s="3"/>
      <c r="I270" s="3"/>
      <c r="J270" s="3"/>
    </row>
    <row x14ac:dyDescent="0.25" r="271" customHeight="1" ht="18.75">
      <c r="A271" s="17"/>
      <c r="B271" s="17"/>
      <c r="C271" s="3"/>
      <c r="D271" s="3"/>
      <c r="E271" s="3"/>
      <c r="F271" s="3"/>
      <c r="G271" s="3"/>
      <c r="H271" s="3"/>
      <c r="I271" s="3"/>
      <c r="J271" s="3"/>
    </row>
    <row x14ac:dyDescent="0.25" r="272" customHeight="1" ht="18.75">
      <c r="A272" s="17"/>
      <c r="B272" s="17"/>
      <c r="C272" s="3"/>
      <c r="D272" s="3"/>
      <c r="E272" s="3"/>
      <c r="F272" s="3"/>
      <c r="G272" s="3"/>
      <c r="H272" s="3"/>
      <c r="I272" s="3"/>
      <c r="J272" s="3"/>
    </row>
    <row x14ac:dyDescent="0.25" r="273" customHeight="1" ht="18.75">
      <c r="A273" s="17"/>
      <c r="B273" s="17"/>
      <c r="C273" s="3"/>
      <c r="D273" s="3"/>
      <c r="E273" s="3"/>
      <c r="F273" s="3"/>
      <c r="G273" s="3"/>
      <c r="H273" s="3"/>
      <c r="I273" s="3"/>
      <c r="J273" s="3"/>
    </row>
    <row x14ac:dyDescent="0.25" r="274" customHeight="1" ht="18.75">
      <c r="A274" s="17"/>
      <c r="B274" s="17"/>
      <c r="C274" s="3"/>
      <c r="D274" s="3"/>
      <c r="E274" s="3"/>
      <c r="F274" s="3"/>
      <c r="G274" s="3"/>
      <c r="H274" s="3"/>
      <c r="I274" s="3"/>
      <c r="J274" s="3"/>
    </row>
    <row x14ac:dyDescent="0.25" r="275" customHeight="1" ht="18.75">
      <c r="A275" s="17"/>
      <c r="B275" s="17"/>
      <c r="C275" s="3"/>
      <c r="D275" s="3"/>
      <c r="E275" s="3"/>
      <c r="F275" s="3"/>
      <c r="G275" s="3"/>
      <c r="H275" s="3"/>
      <c r="I275" s="3"/>
      <c r="J275" s="3"/>
    </row>
    <row x14ac:dyDescent="0.25" r="276" customHeight="1" ht="18.75">
      <c r="A276" s="17"/>
      <c r="B276" s="17"/>
      <c r="C276" s="3"/>
      <c r="D276" s="3"/>
      <c r="E276" s="3"/>
      <c r="F276" s="3"/>
      <c r="G276" s="3"/>
      <c r="H276" s="3"/>
      <c r="I276" s="3"/>
      <c r="J276" s="3"/>
    </row>
    <row x14ac:dyDescent="0.25" r="277" customHeight="1" ht="18.75">
      <c r="A277" s="17"/>
      <c r="B277" s="17"/>
      <c r="C277" s="3"/>
      <c r="D277" s="3"/>
      <c r="E277" s="3"/>
      <c r="F277" s="3"/>
      <c r="G277" s="3"/>
      <c r="H277" s="3"/>
      <c r="I277" s="3"/>
      <c r="J277" s="3"/>
    </row>
    <row x14ac:dyDescent="0.25" r="278" customHeight="1" ht="18.75">
      <c r="A278" s="17"/>
      <c r="B278" s="17"/>
      <c r="C278" s="3"/>
      <c r="D278" s="3"/>
      <c r="E278" s="3"/>
      <c r="F278" s="3"/>
      <c r="G278" s="3"/>
      <c r="H278" s="3"/>
      <c r="I278" s="3"/>
      <c r="J278" s="3"/>
    </row>
    <row x14ac:dyDescent="0.25" r="279" customHeight="1" ht="18.75">
      <c r="A279" s="17"/>
      <c r="B279" s="17"/>
      <c r="C279" s="3"/>
      <c r="D279" s="3"/>
      <c r="E279" s="3"/>
      <c r="F279" s="3"/>
      <c r="G279" s="3"/>
      <c r="H279" s="3"/>
      <c r="I279" s="3"/>
      <c r="J279" s="3"/>
    </row>
    <row x14ac:dyDescent="0.25" r="280" customHeight="1" ht="18.75">
      <c r="A280" s="17"/>
      <c r="B280" s="17"/>
      <c r="C280" s="3"/>
      <c r="D280" s="3"/>
      <c r="E280" s="3"/>
      <c r="F280" s="3"/>
      <c r="G280" s="3"/>
      <c r="H280" s="3"/>
      <c r="I280" s="3"/>
      <c r="J280" s="3"/>
    </row>
    <row x14ac:dyDescent="0.25" r="281" customHeight="1" ht="18.75">
      <c r="A281" s="17"/>
      <c r="B281" s="17"/>
      <c r="C281" s="3"/>
      <c r="D281" s="3"/>
      <c r="E281" s="3"/>
      <c r="F281" s="3"/>
      <c r="G281" s="3"/>
      <c r="H281" s="3"/>
      <c r="I281" s="3"/>
      <c r="J281" s="3"/>
    </row>
    <row x14ac:dyDescent="0.25" r="282" customHeight="1" ht="18.75">
      <c r="A282" s="17"/>
      <c r="B282" s="17"/>
      <c r="C282" s="3"/>
      <c r="D282" s="3"/>
      <c r="E282" s="3"/>
      <c r="F282" s="3"/>
      <c r="G282" s="3"/>
      <c r="H282" s="3"/>
      <c r="I282" s="3"/>
      <c r="J282" s="3"/>
    </row>
    <row x14ac:dyDescent="0.25" r="283" customHeight="1" ht="18.75">
      <c r="A283" s="17"/>
      <c r="B283" s="17"/>
      <c r="C283" s="3"/>
      <c r="D283" s="3"/>
      <c r="E283" s="3"/>
      <c r="F283" s="3"/>
      <c r="G283" s="3"/>
      <c r="H283" s="3"/>
      <c r="I283" s="3"/>
      <c r="J283" s="3"/>
    </row>
    <row x14ac:dyDescent="0.25" r="284" customHeight="1" ht="18.75">
      <c r="A284" s="17"/>
      <c r="B284" s="17"/>
      <c r="C284" s="3"/>
      <c r="D284" s="3"/>
      <c r="E284" s="3"/>
      <c r="F284" s="3"/>
      <c r="G284" s="3"/>
      <c r="H284" s="3"/>
      <c r="I284" s="3"/>
      <c r="J284" s="3"/>
    </row>
    <row x14ac:dyDescent="0.25" r="285" customHeight="1" ht="18.75">
      <c r="A285" s="17"/>
      <c r="B285" s="17"/>
      <c r="C285" s="3"/>
      <c r="D285" s="3"/>
      <c r="E285" s="3"/>
      <c r="F285" s="3"/>
      <c r="G285" s="3"/>
      <c r="H285" s="3"/>
      <c r="I285" s="3"/>
      <c r="J285" s="3"/>
    </row>
    <row x14ac:dyDescent="0.25" r="286" customHeight="1" ht="18.75">
      <c r="A286" s="17"/>
      <c r="B286" s="17"/>
      <c r="C286" s="3"/>
      <c r="D286" s="3"/>
      <c r="E286" s="3"/>
      <c r="F286" s="3"/>
      <c r="G286" s="3"/>
      <c r="H286" s="3"/>
      <c r="I286" s="3"/>
      <c r="J286" s="3"/>
    </row>
    <row x14ac:dyDescent="0.25" r="287" customHeight="1" ht="18.75">
      <c r="A287" s="17"/>
      <c r="B287" s="17"/>
      <c r="C287" s="3"/>
      <c r="D287" s="3"/>
      <c r="E287" s="3"/>
      <c r="F287" s="3"/>
      <c r="G287" s="3"/>
      <c r="H287" s="3"/>
      <c r="I287" s="3"/>
      <c r="J287" s="3"/>
    </row>
    <row x14ac:dyDescent="0.25" r="288" customHeight="1" ht="18.75">
      <c r="A288" s="17"/>
      <c r="B288" s="17"/>
      <c r="C288" s="3"/>
      <c r="D288" s="3"/>
      <c r="E288" s="3"/>
      <c r="F288" s="3"/>
      <c r="G288" s="3"/>
      <c r="H288" s="3"/>
      <c r="I288" s="3"/>
      <c r="J288" s="3"/>
    </row>
    <row x14ac:dyDescent="0.25" r="289" customHeight="1" ht="18.75">
      <c r="A289" s="17"/>
      <c r="B289" s="17"/>
      <c r="C289" s="3"/>
      <c r="D289" s="3"/>
      <c r="E289" s="3"/>
      <c r="F289" s="3"/>
      <c r="G289" s="3"/>
      <c r="H289" s="3"/>
      <c r="I289" s="3"/>
      <c r="J289" s="3"/>
    </row>
    <row x14ac:dyDescent="0.25" r="290" customHeight="1" ht="18.75">
      <c r="A290" s="17"/>
      <c r="B290" s="17"/>
      <c r="C290" s="3"/>
      <c r="D290" s="3"/>
      <c r="E290" s="3"/>
      <c r="F290" s="3"/>
      <c r="G290" s="3"/>
      <c r="H290" s="3"/>
      <c r="I290" s="3"/>
      <c r="J290" s="3"/>
    </row>
    <row x14ac:dyDescent="0.25" r="291" customHeight="1" ht="18.75">
      <c r="A291" s="17"/>
      <c r="B291" s="17"/>
      <c r="C291" s="3"/>
      <c r="D291" s="3"/>
      <c r="E291" s="3"/>
      <c r="F291" s="3"/>
      <c r="G291" s="3"/>
      <c r="H291" s="3"/>
      <c r="I291" s="3"/>
      <c r="J291" s="3"/>
    </row>
    <row x14ac:dyDescent="0.25" r="292" customHeight="1" ht="18.75">
      <c r="A292" s="17"/>
      <c r="B292" s="17"/>
      <c r="C292" s="3"/>
      <c r="D292" s="3"/>
      <c r="E292" s="3"/>
      <c r="F292" s="3"/>
      <c r="G292" s="3"/>
      <c r="H292" s="3"/>
      <c r="I292" s="3"/>
      <c r="J292" s="3"/>
    </row>
    <row x14ac:dyDescent="0.25" r="293" customHeight="1" ht="18.75">
      <c r="A293" s="17"/>
      <c r="B293" s="17"/>
      <c r="C293" s="3"/>
      <c r="D293" s="3"/>
      <c r="E293" s="3"/>
      <c r="F293" s="3"/>
      <c r="G293" s="3"/>
      <c r="H293" s="3"/>
      <c r="I293" s="3"/>
      <c r="J293" s="3"/>
    </row>
    <row x14ac:dyDescent="0.25" r="294" customHeight="1" ht="18.75">
      <c r="A294" s="17"/>
      <c r="B294" s="17"/>
      <c r="C294" s="3"/>
      <c r="D294" s="3"/>
      <c r="E294" s="3"/>
      <c r="F294" s="3"/>
      <c r="G294" s="3"/>
      <c r="H294" s="3"/>
      <c r="I294" s="3"/>
      <c r="J294" s="3"/>
    </row>
    <row x14ac:dyDescent="0.25" r="295" customHeight="1" ht="18.75">
      <c r="A295" s="17"/>
      <c r="B295" s="17"/>
      <c r="C295" s="3"/>
      <c r="D295" s="3"/>
      <c r="E295" s="3"/>
      <c r="F295" s="3"/>
      <c r="G295" s="3"/>
      <c r="H295" s="3"/>
      <c r="I295" s="3"/>
      <c r="J295" s="3"/>
    </row>
    <row x14ac:dyDescent="0.25" r="296" customHeight="1" ht="18.75">
      <c r="A296" s="17"/>
      <c r="B296" s="17"/>
      <c r="C296" s="3"/>
      <c r="D296" s="3"/>
      <c r="E296" s="3"/>
      <c r="F296" s="3"/>
      <c r="G296" s="3"/>
      <c r="H296" s="3"/>
      <c r="I296" s="3"/>
      <c r="J296" s="3"/>
    </row>
    <row x14ac:dyDescent="0.25" r="297" customHeight="1" ht="18.75">
      <c r="A297" s="17"/>
      <c r="B297" s="17"/>
      <c r="C297" s="3"/>
      <c r="D297" s="3"/>
      <c r="E297" s="3"/>
      <c r="F297" s="3"/>
      <c r="G297" s="3"/>
      <c r="H297" s="3"/>
      <c r="I297" s="3"/>
      <c r="J297" s="3"/>
    </row>
    <row x14ac:dyDescent="0.25" r="298" customHeight="1" ht="18.75">
      <c r="A298" s="17"/>
      <c r="B298" s="17"/>
      <c r="C298" s="3"/>
      <c r="D298" s="3"/>
      <c r="E298" s="3"/>
      <c r="F298" s="3"/>
      <c r="G298" s="3"/>
      <c r="H298" s="3"/>
      <c r="I298" s="3"/>
      <c r="J298" s="3"/>
    </row>
    <row x14ac:dyDescent="0.25" r="299" customHeight="1" ht="18.75">
      <c r="A299" s="17"/>
      <c r="B299" s="17"/>
      <c r="C299" s="3"/>
      <c r="D299" s="3"/>
      <c r="E299" s="3"/>
      <c r="F299" s="3"/>
      <c r="G299" s="3"/>
      <c r="H299" s="3"/>
      <c r="I299" s="3"/>
      <c r="J299" s="3"/>
    </row>
    <row x14ac:dyDescent="0.25" r="300" customHeight="1" ht="18.75">
      <c r="A300" s="17"/>
      <c r="B300" s="17"/>
      <c r="C300" s="3"/>
      <c r="D300" s="3"/>
      <c r="E300" s="3"/>
      <c r="F300" s="3"/>
      <c r="G300" s="3"/>
      <c r="H300" s="3"/>
      <c r="I300" s="3"/>
      <c r="J300" s="3"/>
    </row>
    <row x14ac:dyDescent="0.25" r="301" customHeight="1" ht="18.75">
      <c r="A301" s="17"/>
      <c r="B301" s="17"/>
      <c r="C301" s="3"/>
      <c r="D301" s="3"/>
      <c r="E301" s="3"/>
      <c r="F301" s="3"/>
      <c r="G301" s="3"/>
      <c r="H301" s="3"/>
      <c r="I301" s="3"/>
      <c r="J301" s="3"/>
    </row>
    <row x14ac:dyDescent="0.25" r="302" customHeight="1" ht="18.75">
      <c r="A302" s="17"/>
      <c r="B302" s="17"/>
      <c r="C302" s="3"/>
      <c r="D302" s="3"/>
      <c r="E302" s="3"/>
      <c r="F302" s="3"/>
      <c r="G302" s="3"/>
      <c r="H302" s="3"/>
      <c r="I302" s="3"/>
      <c r="J302" s="3"/>
    </row>
    <row x14ac:dyDescent="0.25" r="303" customHeight="1" ht="18.75">
      <c r="A303" s="17"/>
      <c r="B303" s="17"/>
      <c r="C303" s="3"/>
      <c r="D303" s="3"/>
      <c r="E303" s="3"/>
      <c r="F303" s="3"/>
      <c r="G303" s="3"/>
      <c r="H303" s="3"/>
      <c r="I303" s="3"/>
      <c r="J303" s="3"/>
    </row>
    <row x14ac:dyDescent="0.25" r="304" customHeight="1" ht="18.75">
      <c r="A304" s="17"/>
      <c r="B304" s="17"/>
      <c r="C304" s="3"/>
      <c r="D304" s="3"/>
      <c r="E304" s="3"/>
      <c r="F304" s="3"/>
      <c r="G304" s="3"/>
      <c r="H304" s="3"/>
      <c r="I304" s="3"/>
      <c r="J304" s="3"/>
    </row>
    <row x14ac:dyDescent="0.25" r="305" customHeight="1" ht="18.75">
      <c r="A305" s="17"/>
      <c r="B305" s="17"/>
      <c r="C305" s="3"/>
      <c r="D305" s="3"/>
      <c r="E305" s="3"/>
      <c r="F305" s="3"/>
      <c r="G305" s="3"/>
      <c r="H305" s="3"/>
      <c r="I305" s="3"/>
      <c r="J305" s="3"/>
    </row>
    <row x14ac:dyDescent="0.25" r="306" customHeight="1" ht="18.75">
      <c r="A306" s="17"/>
      <c r="B306" s="17"/>
      <c r="C306" s="3"/>
      <c r="D306" s="3"/>
      <c r="E306" s="3"/>
      <c r="F306" s="3"/>
      <c r="G306" s="3"/>
      <c r="H306" s="3"/>
      <c r="I306" s="3"/>
      <c r="J306" s="3"/>
    </row>
    <row x14ac:dyDescent="0.25" r="307" customHeight="1" ht="18.75">
      <c r="A307" s="17"/>
      <c r="B307" s="17"/>
      <c r="C307" s="3"/>
      <c r="D307" s="3"/>
      <c r="E307" s="3"/>
      <c r="F307" s="3"/>
      <c r="G307" s="3"/>
      <c r="H307" s="3"/>
      <c r="I307" s="3"/>
      <c r="J307" s="3"/>
    </row>
    <row x14ac:dyDescent="0.25" r="308" customHeight="1" ht="18.75">
      <c r="A308" s="17"/>
      <c r="B308" s="17"/>
      <c r="C308" s="3"/>
      <c r="D308" s="3"/>
      <c r="E308" s="3"/>
      <c r="F308" s="3"/>
      <c r="G308" s="3"/>
      <c r="H308" s="3"/>
      <c r="I308" s="3"/>
      <c r="J308" s="3"/>
    </row>
    <row x14ac:dyDescent="0.25" r="309" customHeight="1" ht="18.75">
      <c r="A309" s="17"/>
      <c r="B309" s="17"/>
      <c r="C309" s="3"/>
      <c r="D309" s="3"/>
      <c r="E309" s="3"/>
      <c r="F309" s="3"/>
      <c r="G309" s="3"/>
      <c r="H309" s="3"/>
      <c r="I309" s="3"/>
      <c r="J309" s="3"/>
    </row>
    <row x14ac:dyDescent="0.25" r="310" customHeight="1" ht="18.75">
      <c r="A310" s="17"/>
      <c r="B310" s="17"/>
      <c r="C310" s="3"/>
      <c r="D310" s="3"/>
      <c r="E310" s="3"/>
      <c r="F310" s="3"/>
      <c r="G310" s="3"/>
      <c r="H310" s="3"/>
      <c r="I310" s="3"/>
      <c r="J310" s="3"/>
    </row>
    <row x14ac:dyDescent="0.25" r="311" customHeight="1" ht="18.75">
      <c r="A311" s="17"/>
      <c r="B311" s="17"/>
      <c r="C311" s="3"/>
      <c r="D311" s="3"/>
      <c r="E311" s="3"/>
      <c r="F311" s="3"/>
      <c r="G311" s="3"/>
      <c r="H311" s="3"/>
      <c r="I311" s="3"/>
      <c r="J311" s="3"/>
    </row>
    <row x14ac:dyDescent="0.25" r="312" customHeight="1" ht="18.75">
      <c r="A312" s="17"/>
      <c r="B312" s="17"/>
      <c r="C312" s="3"/>
      <c r="D312" s="3"/>
      <c r="E312" s="3"/>
      <c r="F312" s="3"/>
      <c r="G312" s="3"/>
      <c r="H312" s="3"/>
      <c r="I312" s="3"/>
      <c r="J312" s="3"/>
    </row>
    <row x14ac:dyDescent="0.25" r="313" customHeight="1" ht="18.75">
      <c r="A313" s="17"/>
      <c r="B313" s="17"/>
      <c r="C313" s="3"/>
      <c r="D313" s="3"/>
      <c r="E313" s="3"/>
      <c r="F313" s="3"/>
      <c r="G313" s="3"/>
      <c r="H313" s="3"/>
      <c r="I313" s="3"/>
      <c r="J313" s="3"/>
    </row>
    <row x14ac:dyDescent="0.25" r="314" customHeight="1" ht="18.75">
      <c r="A314" s="17"/>
      <c r="B314" s="17"/>
      <c r="C314" s="3"/>
      <c r="D314" s="3"/>
      <c r="E314" s="3"/>
      <c r="F314" s="3"/>
      <c r="G314" s="3"/>
      <c r="H314" s="3"/>
      <c r="I314" s="3"/>
      <c r="J314" s="3"/>
    </row>
    <row x14ac:dyDescent="0.25" r="315" customHeight="1" ht="18.75">
      <c r="A315" s="17"/>
      <c r="B315" s="17"/>
      <c r="C315" s="3"/>
      <c r="D315" s="3"/>
      <c r="E315" s="3"/>
      <c r="F315" s="3"/>
      <c r="G315" s="3"/>
      <c r="H315" s="3"/>
      <c r="I315" s="3"/>
      <c r="J315" s="3"/>
    </row>
    <row x14ac:dyDescent="0.25" r="316" customHeight="1" ht="18.75">
      <c r="A316" s="17"/>
      <c r="B316" s="17"/>
      <c r="C316" s="3"/>
      <c r="D316" s="3"/>
      <c r="E316" s="3"/>
      <c r="F316" s="3"/>
      <c r="G316" s="3"/>
      <c r="H316" s="3"/>
      <c r="I316" s="3"/>
      <c r="J316" s="3"/>
    </row>
    <row x14ac:dyDescent="0.25" r="317" customHeight="1" ht="18.75">
      <c r="A317" s="17"/>
      <c r="B317" s="17"/>
      <c r="C317" s="3"/>
      <c r="D317" s="3"/>
      <c r="E317" s="3"/>
      <c r="F317" s="3"/>
      <c r="G317" s="3"/>
      <c r="H317" s="3"/>
      <c r="I317" s="3"/>
      <c r="J317" s="3"/>
    </row>
    <row x14ac:dyDescent="0.25" r="318" customHeight="1" ht="18.75">
      <c r="A318" s="17"/>
      <c r="B318" s="17"/>
      <c r="C318" s="3"/>
      <c r="D318" s="3"/>
      <c r="E318" s="3"/>
      <c r="F318" s="3"/>
      <c r="G318" s="3"/>
      <c r="H318" s="3"/>
      <c r="I318" s="3"/>
      <c r="J318" s="3"/>
    </row>
    <row x14ac:dyDescent="0.25" r="319" customHeight="1" ht="18.75">
      <c r="A319" s="17"/>
      <c r="B319" s="17"/>
      <c r="C319" s="3"/>
      <c r="D319" s="3"/>
      <c r="E319" s="3"/>
      <c r="F319" s="3"/>
      <c r="G319" s="3"/>
      <c r="H319" s="3"/>
      <c r="I319" s="3"/>
      <c r="J319" s="3"/>
    </row>
    <row x14ac:dyDescent="0.25" r="320" customHeight="1" ht="18.75">
      <c r="A320" s="17"/>
      <c r="B320" s="17"/>
      <c r="C320" s="3"/>
      <c r="D320" s="3"/>
      <c r="E320" s="3"/>
      <c r="F320" s="3"/>
      <c r="G320" s="3"/>
      <c r="H320" s="3"/>
      <c r="I320" s="3"/>
      <c r="J320" s="3"/>
    </row>
    <row x14ac:dyDescent="0.25" r="321" customHeight="1" ht="18.75">
      <c r="A321" s="17"/>
      <c r="B321" s="17"/>
      <c r="C321" s="3"/>
      <c r="D321" s="3"/>
      <c r="E321" s="3"/>
      <c r="F321" s="3"/>
      <c r="G321" s="3"/>
      <c r="H321" s="3"/>
      <c r="I321" s="3"/>
      <c r="J321" s="3"/>
    </row>
    <row x14ac:dyDescent="0.25" r="322" customHeight="1" ht="18.75">
      <c r="A322" s="17"/>
      <c r="B322" s="17"/>
      <c r="C322" s="3"/>
      <c r="D322" s="3"/>
      <c r="E322" s="3"/>
      <c r="F322" s="3"/>
      <c r="G322" s="3"/>
      <c r="H322" s="3"/>
      <c r="I322" s="3"/>
      <c r="J322" s="3"/>
    </row>
    <row x14ac:dyDescent="0.25" r="323" customHeight="1" ht="18.75">
      <c r="A323" s="17"/>
      <c r="B323" s="17"/>
      <c r="C323" s="3"/>
      <c r="D323" s="3"/>
      <c r="E323" s="3"/>
      <c r="F323" s="3"/>
      <c r="G323" s="3"/>
      <c r="H323" s="3"/>
      <c r="I323" s="3"/>
      <c r="J323" s="3"/>
    </row>
    <row x14ac:dyDescent="0.25" r="324" customHeight="1" ht="18.75">
      <c r="A324" s="17"/>
      <c r="B324" s="17"/>
      <c r="C324" s="3"/>
      <c r="D324" s="3"/>
      <c r="E324" s="3"/>
      <c r="F324" s="3"/>
      <c r="G324" s="3"/>
      <c r="H324" s="3"/>
      <c r="I324" s="3"/>
      <c r="J324" s="3"/>
    </row>
    <row x14ac:dyDescent="0.25" r="325" customHeight="1" ht="18.75">
      <c r="A325" s="17"/>
      <c r="B325" s="17"/>
      <c r="C325" s="3"/>
      <c r="D325" s="3"/>
      <c r="E325" s="3"/>
      <c r="F325" s="3"/>
      <c r="G325" s="3"/>
      <c r="H325" s="3"/>
      <c r="I325" s="3"/>
      <c r="J325" s="3"/>
    </row>
    <row x14ac:dyDescent="0.25" r="326" customHeight="1" ht="18.75">
      <c r="A326" s="17"/>
      <c r="B326" s="17"/>
      <c r="C326" s="3"/>
      <c r="D326" s="3"/>
      <c r="E326" s="3"/>
      <c r="F326" s="3"/>
      <c r="G326" s="3"/>
      <c r="H326" s="3"/>
      <c r="I326" s="3"/>
      <c r="J326" s="3"/>
    </row>
    <row x14ac:dyDescent="0.25" r="327" customHeight="1" ht="18.75">
      <c r="A327" s="17"/>
      <c r="B327" s="17"/>
      <c r="C327" s="3"/>
      <c r="D327" s="3"/>
      <c r="E327" s="3"/>
      <c r="F327" s="3"/>
      <c r="G327" s="3"/>
      <c r="H327" s="3"/>
      <c r="I327" s="3"/>
      <c r="J327" s="3"/>
    </row>
    <row x14ac:dyDescent="0.25" r="328" customHeight="1" ht="18.75">
      <c r="A328" s="17"/>
      <c r="B328" s="17"/>
      <c r="C328" s="3"/>
      <c r="D328" s="3"/>
      <c r="E328" s="3"/>
      <c r="F328" s="3"/>
      <c r="G328" s="3"/>
      <c r="H328" s="3"/>
      <c r="I328" s="3"/>
      <c r="J328" s="3"/>
    </row>
    <row x14ac:dyDescent="0.25" r="329" customHeight="1" ht="18.75">
      <c r="A329" s="17"/>
      <c r="B329" s="17"/>
      <c r="C329" s="3"/>
      <c r="D329" s="3"/>
      <c r="E329" s="3"/>
      <c r="F329" s="3"/>
      <c r="G329" s="3"/>
      <c r="H329" s="3"/>
      <c r="I329" s="3"/>
      <c r="J329" s="3"/>
    </row>
    <row x14ac:dyDescent="0.25" r="330" customHeight="1" ht="18.75">
      <c r="A330" s="17"/>
      <c r="B330" s="17"/>
      <c r="C330" s="3"/>
      <c r="D330" s="3"/>
      <c r="E330" s="3"/>
      <c r="F330" s="3"/>
      <c r="G330" s="3"/>
      <c r="H330" s="3"/>
      <c r="I330" s="3"/>
      <c r="J330" s="3"/>
    </row>
    <row x14ac:dyDescent="0.25" r="331" customHeight="1" ht="18.75">
      <c r="A331" s="17"/>
      <c r="B331" s="17"/>
      <c r="C331" s="3"/>
      <c r="D331" s="3"/>
      <c r="E331" s="3"/>
      <c r="F331" s="3"/>
      <c r="G331" s="3"/>
      <c r="H331" s="3"/>
      <c r="I331" s="3"/>
      <c r="J331" s="3"/>
    </row>
    <row x14ac:dyDescent="0.25" r="332" customHeight="1" ht="18.75">
      <c r="A332" s="17"/>
      <c r="B332" s="17"/>
      <c r="C332" s="3"/>
      <c r="D332" s="3"/>
      <c r="E332" s="3"/>
      <c r="F332" s="3"/>
      <c r="G332" s="3"/>
      <c r="H332" s="3"/>
      <c r="I332" s="3"/>
      <c r="J332" s="3"/>
    </row>
    <row x14ac:dyDescent="0.25" r="333" customHeight="1" ht="18.75">
      <c r="A333" s="17"/>
      <c r="B333" s="17"/>
      <c r="C333" s="3"/>
      <c r="D333" s="3"/>
      <c r="E333" s="3"/>
      <c r="F333" s="3"/>
      <c r="G333" s="3"/>
      <c r="H333" s="3"/>
      <c r="I333" s="3"/>
      <c r="J333" s="3"/>
    </row>
    <row x14ac:dyDescent="0.25" r="334" customHeight="1" ht="18.75">
      <c r="A334" s="17"/>
      <c r="B334" s="17"/>
      <c r="C334" s="3"/>
      <c r="D334" s="3"/>
      <c r="E334" s="3"/>
      <c r="F334" s="3"/>
      <c r="G334" s="3"/>
      <c r="H334" s="3"/>
      <c r="I334" s="3"/>
      <c r="J334" s="3"/>
    </row>
    <row x14ac:dyDescent="0.25" r="335" customHeight="1" ht="18.75">
      <c r="A335" s="17"/>
      <c r="B335" s="17"/>
      <c r="C335" s="3"/>
      <c r="D335" s="3"/>
      <c r="E335" s="3"/>
      <c r="F335" s="3"/>
      <c r="G335" s="3"/>
      <c r="H335" s="3"/>
      <c r="I335" s="3"/>
      <c r="J335" s="3"/>
    </row>
    <row x14ac:dyDescent="0.25" r="336" customHeight="1" ht="18.75">
      <c r="A336" s="17"/>
      <c r="B336" s="17"/>
      <c r="C336" s="3"/>
      <c r="D336" s="3"/>
      <c r="E336" s="3"/>
      <c r="F336" s="3"/>
      <c r="G336" s="3"/>
      <c r="H336" s="3"/>
      <c r="I336" s="3"/>
      <c r="J336" s="3"/>
    </row>
    <row x14ac:dyDescent="0.25" r="337" customHeight="1" ht="18.75">
      <c r="A337" s="17"/>
      <c r="B337" s="17"/>
      <c r="C337" s="3"/>
      <c r="D337" s="3"/>
      <c r="E337" s="3"/>
      <c r="F337" s="3"/>
      <c r="G337" s="3"/>
      <c r="H337" s="3"/>
      <c r="I337" s="3"/>
      <c r="J337" s="3"/>
    </row>
    <row x14ac:dyDescent="0.25" r="338" customHeight="1" ht="18.75">
      <c r="A338" s="17"/>
      <c r="B338" s="17"/>
      <c r="C338" s="3"/>
      <c r="D338" s="3"/>
      <c r="E338" s="3"/>
      <c r="F338" s="3"/>
      <c r="G338" s="3"/>
      <c r="H338" s="3"/>
      <c r="I338" s="3"/>
      <c r="J338" s="3"/>
    </row>
    <row x14ac:dyDescent="0.25" r="339" customHeight="1" ht="18.75">
      <c r="A339" s="17"/>
      <c r="B339" s="17"/>
      <c r="C339" s="3"/>
      <c r="D339" s="3"/>
      <c r="E339" s="3"/>
      <c r="F339" s="3"/>
      <c r="G339" s="3"/>
      <c r="H339" s="3"/>
      <c r="I339" s="3"/>
      <c r="J339" s="3"/>
    </row>
    <row x14ac:dyDescent="0.25" r="340" customHeight="1" ht="18.75">
      <c r="A340" s="17"/>
      <c r="B340" s="17"/>
      <c r="C340" s="3"/>
      <c r="D340" s="3"/>
      <c r="E340" s="3"/>
      <c r="F340" s="3"/>
      <c r="G340" s="3"/>
      <c r="H340" s="3"/>
      <c r="I340" s="3"/>
      <c r="J340" s="3"/>
    </row>
    <row x14ac:dyDescent="0.25" r="341" customHeight="1" ht="18.75">
      <c r="A341" s="17"/>
      <c r="B341" s="17"/>
      <c r="C341" s="3"/>
      <c r="D341" s="3"/>
      <c r="E341" s="3"/>
      <c r="F341" s="3"/>
      <c r="G341" s="3"/>
      <c r="H341" s="3"/>
      <c r="I341" s="3"/>
      <c r="J341" s="3"/>
    </row>
    <row x14ac:dyDescent="0.25" r="342" customHeight="1" ht="18.75">
      <c r="A342" s="17"/>
      <c r="B342" s="17"/>
      <c r="C342" s="3"/>
      <c r="D342" s="3"/>
      <c r="E342" s="3"/>
      <c r="F342" s="3"/>
      <c r="G342" s="3"/>
      <c r="H342" s="3"/>
      <c r="I342" s="3"/>
      <c r="J342" s="3"/>
    </row>
    <row x14ac:dyDescent="0.25" r="343" customHeight="1" ht="18.75">
      <c r="A343" s="17"/>
      <c r="B343" s="17"/>
      <c r="C343" s="3"/>
      <c r="D343" s="3"/>
      <c r="E343" s="3"/>
      <c r="F343" s="3"/>
      <c r="G343" s="3"/>
      <c r="H343" s="3"/>
      <c r="I343" s="3"/>
      <c r="J343" s="3"/>
    </row>
    <row x14ac:dyDescent="0.25" r="344" customHeight="1" ht="18.75">
      <c r="A344" s="17"/>
      <c r="B344" s="17"/>
      <c r="C344" s="3"/>
      <c r="D344" s="3"/>
      <c r="E344" s="3"/>
      <c r="F344" s="3"/>
      <c r="G344" s="3"/>
      <c r="H344" s="3"/>
      <c r="I344" s="3"/>
      <c r="J344" s="3"/>
    </row>
    <row x14ac:dyDescent="0.25" r="345" customHeight="1" ht="18.75">
      <c r="A345" s="17"/>
      <c r="B345" s="17"/>
      <c r="C345" s="3"/>
      <c r="D345" s="3"/>
      <c r="E345" s="3"/>
      <c r="F345" s="3"/>
      <c r="G345" s="3"/>
      <c r="H345" s="3"/>
      <c r="I345" s="3"/>
      <c r="J345" s="3"/>
    </row>
    <row x14ac:dyDescent="0.25" r="346" customHeight="1" ht="18.75">
      <c r="A346" s="17"/>
      <c r="B346" s="17"/>
      <c r="C346" s="3"/>
      <c r="D346" s="3"/>
      <c r="E346" s="3"/>
      <c r="F346" s="3"/>
      <c r="G346" s="3"/>
      <c r="H346" s="3"/>
      <c r="I346" s="3"/>
      <c r="J346" s="3"/>
    </row>
    <row x14ac:dyDescent="0.25" r="347" customHeight="1" ht="18.75">
      <c r="A347" s="17"/>
      <c r="B347" s="17"/>
      <c r="C347" s="3"/>
      <c r="D347" s="3"/>
      <c r="E347" s="3"/>
      <c r="F347" s="3"/>
      <c r="G347" s="3"/>
      <c r="H347" s="3"/>
      <c r="I347" s="3"/>
      <c r="J347" s="3"/>
    </row>
    <row x14ac:dyDescent="0.25" r="348" customHeight="1" ht="18.75">
      <c r="A348" s="17"/>
      <c r="B348" s="17"/>
      <c r="C348" s="3"/>
      <c r="D348" s="3"/>
      <c r="E348" s="3"/>
      <c r="F348" s="3"/>
      <c r="G348" s="3"/>
      <c r="H348" s="3"/>
      <c r="I348" s="3"/>
      <c r="J348" s="3"/>
    </row>
    <row x14ac:dyDescent="0.25" r="349" customHeight="1" ht="18.75">
      <c r="A349" s="17"/>
      <c r="B349" s="17"/>
      <c r="C349" s="3"/>
      <c r="D349" s="3"/>
      <c r="E349" s="3"/>
      <c r="F349" s="3"/>
      <c r="G349" s="3"/>
      <c r="H349" s="3"/>
      <c r="I349" s="3"/>
      <c r="J349" s="3"/>
    </row>
    <row x14ac:dyDescent="0.25" r="350" customHeight="1" ht="18.75">
      <c r="A350" s="17"/>
      <c r="B350" s="17"/>
      <c r="C350" s="3"/>
      <c r="D350" s="3"/>
      <c r="E350" s="3"/>
      <c r="F350" s="3"/>
      <c r="G350" s="3"/>
      <c r="H350" s="3"/>
      <c r="I350" s="3"/>
      <c r="J350" s="3"/>
    </row>
    <row x14ac:dyDescent="0.25" r="351" customHeight="1" ht="18.75">
      <c r="A351" s="17"/>
      <c r="B351" s="17"/>
      <c r="C351" s="3"/>
      <c r="D351" s="3"/>
      <c r="E351" s="3"/>
      <c r="F351" s="3"/>
      <c r="G351" s="3"/>
      <c r="H351" s="3"/>
      <c r="I351" s="3"/>
      <c r="J351" s="3"/>
    </row>
    <row x14ac:dyDescent="0.25" r="352" customHeight="1" ht="18.75">
      <c r="A352" s="17"/>
      <c r="B352" s="17"/>
      <c r="C352" s="3"/>
      <c r="D352" s="3"/>
      <c r="E352" s="3"/>
      <c r="F352" s="3"/>
      <c r="G352" s="3"/>
      <c r="H352" s="3"/>
      <c r="I352" s="3"/>
      <c r="J352" s="3"/>
    </row>
    <row x14ac:dyDescent="0.25" r="353" customHeight="1" ht="18.75">
      <c r="A353" s="17"/>
      <c r="B353" s="17"/>
      <c r="C353" s="3"/>
      <c r="D353" s="3"/>
      <c r="E353" s="3"/>
      <c r="F353" s="3"/>
      <c r="G353" s="3"/>
      <c r="H353" s="3"/>
      <c r="I353" s="3"/>
      <c r="J353" s="3"/>
    </row>
    <row x14ac:dyDescent="0.25" r="354" customHeight="1" ht="18.75">
      <c r="A354" s="17"/>
      <c r="B354" s="17"/>
      <c r="C354" s="3"/>
      <c r="D354" s="3"/>
      <c r="E354" s="3"/>
      <c r="F354" s="3"/>
      <c r="G354" s="3"/>
      <c r="H354" s="3"/>
      <c r="I354" s="3"/>
      <c r="J354" s="3"/>
    </row>
    <row x14ac:dyDescent="0.25" r="355" customHeight="1" ht="18.75">
      <c r="A355" s="17"/>
      <c r="B355" s="17"/>
      <c r="C355" s="3"/>
      <c r="D355" s="3"/>
      <c r="E355" s="3"/>
      <c r="F355" s="3"/>
      <c r="G355" s="3"/>
      <c r="H355" s="3"/>
      <c r="I355" s="3"/>
      <c r="J355" s="3"/>
    </row>
    <row x14ac:dyDescent="0.25" r="356" customHeight="1" ht="18.75">
      <c r="A356" s="17"/>
      <c r="B356" s="17"/>
      <c r="C356" s="3"/>
      <c r="D356" s="3"/>
      <c r="E356" s="3"/>
      <c r="F356" s="3"/>
      <c r="G356" s="3"/>
      <c r="H356" s="3"/>
      <c r="I356" s="3"/>
      <c r="J356" s="3"/>
    </row>
    <row x14ac:dyDescent="0.25" r="357" customHeight="1" ht="18.75">
      <c r="A357" s="17"/>
      <c r="B357" s="17"/>
      <c r="C357" s="3"/>
      <c r="D357" s="3"/>
      <c r="E357" s="3"/>
      <c r="F357" s="3"/>
      <c r="G357" s="3"/>
      <c r="H357" s="3"/>
      <c r="I357" s="3"/>
      <c r="J357" s="3"/>
    </row>
    <row x14ac:dyDescent="0.25" r="358" customHeight="1" ht="18.75">
      <c r="A358" s="17"/>
      <c r="B358" s="17"/>
      <c r="C358" s="3"/>
      <c r="D358" s="3"/>
      <c r="E358" s="3"/>
      <c r="F358" s="3"/>
      <c r="G358" s="3"/>
      <c r="H358" s="3"/>
      <c r="I358" s="3"/>
      <c r="J358" s="3"/>
    </row>
    <row x14ac:dyDescent="0.25" r="359" customHeight="1" ht="18.75">
      <c r="A359" s="17"/>
      <c r="B359" s="17"/>
      <c r="C359" s="3"/>
      <c r="D359" s="3"/>
      <c r="E359" s="3"/>
      <c r="F359" s="3"/>
      <c r="G359" s="3"/>
      <c r="H359" s="3"/>
      <c r="I359" s="3"/>
      <c r="J359" s="3"/>
    </row>
    <row x14ac:dyDescent="0.25" r="360" customHeight="1" ht="18.75">
      <c r="A360" s="17"/>
      <c r="B360" s="17"/>
      <c r="C360" s="3"/>
      <c r="D360" s="3"/>
      <c r="E360" s="3"/>
      <c r="F360" s="3"/>
      <c r="G360" s="3"/>
      <c r="H360" s="3"/>
      <c r="I360" s="3"/>
      <c r="J360" s="3"/>
    </row>
    <row x14ac:dyDescent="0.25" r="361" customHeight="1" ht="18.75">
      <c r="A361" s="17"/>
      <c r="B361" s="17"/>
      <c r="C361" s="3"/>
      <c r="D361" s="3"/>
      <c r="E361" s="3"/>
      <c r="F361" s="3"/>
      <c r="G361" s="3"/>
      <c r="H361" s="3"/>
      <c r="I361" s="3"/>
      <c r="J361" s="3"/>
    </row>
    <row x14ac:dyDescent="0.25" r="362" customHeight="1" ht="18.75">
      <c r="A362" s="17"/>
      <c r="B362" s="17"/>
      <c r="C362" s="3"/>
      <c r="D362" s="3"/>
      <c r="E362" s="3"/>
      <c r="F362" s="3"/>
      <c r="G362" s="3"/>
      <c r="H362" s="3"/>
      <c r="I362" s="3"/>
      <c r="J362" s="3"/>
    </row>
    <row x14ac:dyDescent="0.25" r="363" customHeight="1" ht="18.75">
      <c r="A363" s="17"/>
      <c r="B363" s="17"/>
      <c r="C363" s="3"/>
      <c r="D363" s="3"/>
      <c r="E363" s="3"/>
      <c r="F363" s="3"/>
      <c r="G363" s="3"/>
      <c r="H363" s="3"/>
      <c r="I363" s="3"/>
      <c r="J363" s="3"/>
    </row>
    <row x14ac:dyDescent="0.25" r="364" customHeight="1" ht="18.75">
      <c r="A364" s="17"/>
      <c r="B364" s="17"/>
      <c r="C364" s="3"/>
      <c r="D364" s="3"/>
      <c r="E364" s="3"/>
      <c r="F364" s="3"/>
      <c r="G364" s="3"/>
      <c r="H364" s="3"/>
      <c r="I364" s="3"/>
      <c r="J364" s="3"/>
    </row>
    <row x14ac:dyDescent="0.25" r="365" customHeight="1" ht="18.75">
      <c r="A365" s="17"/>
      <c r="B365" s="17"/>
      <c r="C365" s="3"/>
      <c r="D365" s="3"/>
      <c r="E365" s="3"/>
      <c r="F365" s="3"/>
      <c r="G365" s="3"/>
      <c r="H365" s="3"/>
      <c r="I365" s="3"/>
      <c r="J365" s="3"/>
    </row>
    <row x14ac:dyDescent="0.25" r="366" customHeight="1" ht="18.75">
      <c r="A366" s="17"/>
      <c r="B366" s="17"/>
      <c r="C366" s="3"/>
      <c r="D366" s="3"/>
      <c r="E366" s="3"/>
      <c r="F366" s="3"/>
      <c r="G366" s="3"/>
      <c r="H366" s="3"/>
      <c r="I366" s="3"/>
      <c r="J366" s="3"/>
    </row>
    <row x14ac:dyDescent="0.25" r="367" customHeight="1" ht="18.75">
      <c r="A367" s="17"/>
      <c r="B367" s="17"/>
      <c r="C367" s="3"/>
      <c r="D367" s="3"/>
      <c r="E367" s="3"/>
      <c r="F367" s="3"/>
      <c r="G367" s="3"/>
      <c r="H367" s="3"/>
      <c r="I367" s="3"/>
      <c r="J367" s="3"/>
    </row>
    <row x14ac:dyDescent="0.25" r="368" customHeight="1" ht="18.75">
      <c r="A368" s="17"/>
      <c r="B368" s="17"/>
      <c r="C368" s="3"/>
      <c r="D368" s="3"/>
      <c r="E368" s="3"/>
      <c r="F368" s="3"/>
      <c r="G368" s="3"/>
      <c r="H368" s="3"/>
      <c r="I368" s="3"/>
      <c r="J368" s="3"/>
    </row>
    <row x14ac:dyDescent="0.25" r="369" customHeight="1" ht="18.75">
      <c r="A369" s="17"/>
      <c r="B369" s="17"/>
      <c r="C369" s="3"/>
      <c r="D369" s="3"/>
      <c r="E369" s="3"/>
      <c r="F369" s="3"/>
      <c r="G369" s="3"/>
      <c r="H369" s="3"/>
      <c r="I369" s="3"/>
      <c r="J369" s="3"/>
    </row>
    <row x14ac:dyDescent="0.25" r="370" customHeight="1" ht="18.75">
      <c r="A370" s="17"/>
      <c r="B370" s="17"/>
      <c r="C370" s="3"/>
      <c r="D370" s="3"/>
      <c r="E370" s="3"/>
      <c r="F370" s="3"/>
      <c r="G370" s="3"/>
      <c r="H370" s="3"/>
      <c r="I370" s="3"/>
      <c r="J370" s="3"/>
    </row>
    <row x14ac:dyDescent="0.25" r="371" customHeight="1" ht="18.75">
      <c r="A371" s="17"/>
      <c r="B371" s="17"/>
      <c r="C371" s="3"/>
      <c r="D371" s="3"/>
      <c r="E371" s="3"/>
      <c r="F371" s="3"/>
      <c r="G371" s="3"/>
      <c r="H371" s="3"/>
      <c r="I371" s="3"/>
      <c r="J371" s="3"/>
    </row>
    <row x14ac:dyDescent="0.25" r="372" customHeight="1" ht="18.75">
      <c r="A372" s="17"/>
      <c r="B372" s="17"/>
      <c r="C372" s="3"/>
      <c r="D372" s="3"/>
      <c r="E372" s="3"/>
      <c r="F372" s="3"/>
      <c r="G372" s="3"/>
      <c r="H372" s="3"/>
      <c r="I372" s="3"/>
      <c r="J372" s="3"/>
    </row>
    <row x14ac:dyDescent="0.25" r="373" customHeight="1" ht="18.75">
      <c r="A373" s="17"/>
      <c r="B373" s="17"/>
      <c r="C373" s="3"/>
      <c r="D373" s="3"/>
      <c r="E373" s="3"/>
      <c r="F373" s="3"/>
      <c r="G373" s="3"/>
      <c r="H373" s="3"/>
      <c r="I373" s="3"/>
      <c r="J373" s="3"/>
    </row>
    <row x14ac:dyDescent="0.25" r="374" customHeight="1" ht="18.75">
      <c r="A374" s="17"/>
      <c r="B374" s="17"/>
      <c r="C374" s="3"/>
      <c r="D374" s="3"/>
      <c r="E374" s="3"/>
      <c r="F374" s="3"/>
      <c r="G374" s="3"/>
      <c r="H374" s="3"/>
      <c r="I374" s="3"/>
      <c r="J374" s="3"/>
    </row>
    <row x14ac:dyDescent="0.25" r="375" customHeight="1" ht="18.75">
      <c r="A375" s="17"/>
      <c r="B375" s="17"/>
      <c r="C375" s="3"/>
      <c r="D375" s="3"/>
      <c r="E375" s="3"/>
      <c r="F375" s="3"/>
      <c r="G375" s="3"/>
      <c r="H375" s="3"/>
      <c r="I375" s="3"/>
      <c r="J375" s="3"/>
    </row>
    <row x14ac:dyDescent="0.25" r="376" customHeight="1" ht="18.75">
      <c r="A376" s="17"/>
      <c r="B376" s="17"/>
      <c r="C376" s="3"/>
      <c r="D376" s="3"/>
      <c r="E376" s="3"/>
      <c r="F376" s="3"/>
      <c r="G376" s="3"/>
      <c r="H376" s="3"/>
      <c r="I376" s="3"/>
      <c r="J376" s="3"/>
    </row>
    <row x14ac:dyDescent="0.25" r="377" customHeight="1" ht="18.75">
      <c r="A377" s="17"/>
      <c r="B377" s="17"/>
      <c r="C377" s="3"/>
      <c r="D377" s="3"/>
      <c r="E377" s="3"/>
      <c r="F377" s="3"/>
      <c r="G377" s="3"/>
      <c r="H377" s="3"/>
      <c r="I377" s="3"/>
      <c r="J377" s="3"/>
    </row>
    <row x14ac:dyDescent="0.25" r="378" customHeight="1" ht="18.75">
      <c r="A378" s="17"/>
      <c r="B378" s="17"/>
      <c r="C378" s="3"/>
      <c r="D378" s="3"/>
      <c r="E378" s="3"/>
      <c r="F378" s="3"/>
      <c r="G378" s="3"/>
      <c r="H378" s="3"/>
      <c r="I378" s="3"/>
      <c r="J378" s="3"/>
    </row>
    <row x14ac:dyDescent="0.25" r="379" customHeight="1" ht="18.75">
      <c r="A379" s="17"/>
      <c r="B379" s="17"/>
      <c r="C379" s="3"/>
      <c r="D379" s="3"/>
      <c r="E379" s="3"/>
      <c r="F379" s="3"/>
      <c r="G379" s="3"/>
      <c r="H379" s="3"/>
      <c r="I379" s="3"/>
      <c r="J379" s="3"/>
    </row>
    <row x14ac:dyDescent="0.25" r="380" customHeight="1" ht="18.75">
      <c r="A380" s="17"/>
      <c r="B380" s="17"/>
      <c r="C380" s="3"/>
      <c r="D380" s="3"/>
      <c r="E380" s="3"/>
      <c r="F380" s="3"/>
      <c r="G380" s="3"/>
      <c r="H380" s="3"/>
      <c r="I380" s="3"/>
      <c r="J380" s="3"/>
    </row>
    <row x14ac:dyDescent="0.25" r="381" customHeight="1" ht="18.75">
      <c r="A381" s="17"/>
      <c r="B381" s="17"/>
      <c r="C381" s="3"/>
      <c r="D381" s="3"/>
      <c r="E381" s="3"/>
      <c r="F381" s="3"/>
      <c r="G381" s="3"/>
      <c r="H381" s="3"/>
      <c r="I381" s="3"/>
      <c r="J381" s="3"/>
    </row>
    <row x14ac:dyDescent="0.25" r="382" customHeight="1" ht="18.75">
      <c r="A382" s="17"/>
      <c r="B382" s="17"/>
      <c r="C382" s="3"/>
      <c r="D382" s="3"/>
      <c r="E382" s="3"/>
      <c r="F382" s="3"/>
      <c r="G382" s="3"/>
      <c r="H382" s="3"/>
      <c r="I382" s="3"/>
      <c r="J382" s="3"/>
    </row>
    <row x14ac:dyDescent="0.25" r="383" customHeight="1" ht="18.75">
      <c r="A383" s="17"/>
      <c r="B383" s="17"/>
      <c r="C383" s="3"/>
      <c r="D383" s="3"/>
      <c r="E383" s="3"/>
      <c r="F383" s="3"/>
      <c r="G383" s="3"/>
      <c r="H383" s="3"/>
      <c r="I383" s="3"/>
      <c r="J383" s="3"/>
    </row>
    <row x14ac:dyDescent="0.25" r="384" customHeight="1" ht="18.75">
      <c r="A384" s="17"/>
      <c r="B384" s="17"/>
      <c r="C384" s="3"/>
      <c r="D384" s="3"/>
      <c r="E384" s="3"/>
      <c r="F384" s="3"/>
      <c r="G384" s="3"/>
      <c r="H384" s="3"/>
      <c r="I384" s="3"/>
      <c r="J384" s="3"/>
    </row>
    <row x14ac:dyDescent="0.25" r="385" customHeight="1" ht="18.75">
      <c r="A385" s="17"/>
      <c r="B385" s="17"/>
      <c r="C385" s="3"/>
      <c r="D385" s="3"/>
      <c r="E385" s="3"/>
      <c r="F385" s="3"/>
      <c r="G385" s="3"/>
      <c r="H385" s="3"/>
      <c r="I385" s="3"/>
      <c r="J385" s="3"/>
    </row>
    <row x14ac:dyDescent="0.25" r="386" customHeight="1" ht="18.75">
      <c r="A386" s="17"/>
      <c r="B386" s="17"/>
      <c r="C386" s="3"/>
      <c r="D386" s="3"/>
      <c r="E386" s="3"/>
      <c r="F386" s="3"/>
      <c r="G386" s="3"/>
      <c r="H386" s="3"/>
      <c r="I386" s="3"/>
      <c r="J386" s="3"/>
    </row>
    <row x14ac:dyDescent="0.25" r="387" customHeight="1" ht="18.75">
      <c r="A387" s="17"/>
      <c r="B387" s="17"/>
      <c r="C387" s="3"/>
      <c r="D387" s="3"/>
      <c r="E387" s="3"/>
      <c r="F387" s="3"/>
      <c r="G387" s="3"/>
      <c r="H387" s="3"/>
      <c r="I387" s="3"/>
      <c r="J387" s="3"/>
    </row>
    <row x14ac:dyDescent="0.25" r="388" customHeight="1" ht="18.75">
      <c r="A388" s="17"/>
      <c r="B388" s="17"/>
      <c r="C388" s="3"/>
      <c r="D388" s="3"/>
      <c r="E388" s="3"/>
      <c r="F388" s="3"/>
      <c r="G388" s="3"/>
      <c r="H388" s="3"/>
      <c r="I388" s="3"/>
      <c r="J388" s="3"/>
    </row>
    <row x14ac:dyDescent="0.25" r="389" customHeight="1" ht="18.75">
      <c r="A389" s="17"/>
      <c r="B389" s="17"/>
      <c r="C389" s="3"/>
      <c r="D389" s="3"/>
      <c r="E389" s="3"/>
      <c r="F389" s="3"/>
      <c r="G389" s="3"/>
      <c r="H389" s="3"/>
      <c r="I389" s="3"/>
      <c r="J389" s="3"/>
    </row>
    <row x14ac:dyDescent="0.25" r="390" customHeight="1" ht="18.75">
      <c r="A390" s="17"/>
      <c r="B390" s="17"/>
      <c r="C390" s="3"/>
      <c r="D390" s="3"/>
      <c r="E390" s="3"/>
      <c r="F390" s="3"/>
      <c r="G390" s="3"/>
      <c r="H390" s="3"/>
      <c r="I390" s="3"/>
      <c r="J390" s="3"/>
    </row>
    <row x14ac:dyDescent="0.25" r="391" customHeight="1" ht="18.75">
      <c r="A391" s="17"/>
      <c r="B391" s="17"/>
      <c r="C391" s="3"/>
      <c r="D391" s="3"/>
      <c r="E391" s="3"/>
      <c r="F391" s="3"/>
      <c r="G391" s="3"/>
      <c r="H391" s="3"/>
      <c r="I391" s="3"/>
      <c r="J391" s="3"/>
    </row>
    <row x14ac:dyDescent="0.25" r="392" customHeight="1" ht="18.75">
      <c r="A392" s="17"/>
      <c r="B392" s="17"/>
      <c r="C392" s="3"/>
      <c r="D392" s="3"/>
      <c r="E392" s="3"/>
      <c r="F392" s="3"/>
      <c r="G392" s="3"/>
      <c r="H392" s="3"/>
      <c r="I392" s="3"/>
      <c r="J392" s="3"/>
    </row>
    <row x14ac:dyDescent="0.25" r="393" customHeight="1" ht="18.75">
      <c r="A393" s="17"/>
      <c r="B393" s="17"/>
      <c r="C393" s="3"/>
      <c r="D393" s="3"/>
      <c r="E393" s="3"/>
      <c r="F393" s="3"/>
      <c r="G393" s="3"/>
      <c r="H393" s="3"/>
      <c r="I393" s="3"/>
      <c r="J393" s="3"/>
    </row>
    <row x14ac:dyDescent="0.25" r="394" customHeight="1" ht="18.75">
      <c r="A394" s="17"/>
      <c r="B394" s="17"/>
      <c r="C394" s="3"/>
      <c r="D394" s="3"/>
      <c r="E394" s="3"/>
      <c r="F394" s="3"/>
      <c r="G394" s="3"/>
      <c r="H394" s="3"/>
      <c r="I394" s="3"/>
      <c r="J394" s="3"/>
    </row>
    <row x14ac:dyDescent="0.25" r="395" customHeight="1" ht="18.75">
      <c r="A395" s="17"/>
      <c r="B395" s="17"/>
      <c r="C395" s="3"/>
      <c r="D395" s="3"/>
      <c r="E395" s="3"/>
      <c r="F395" s="3"/>
      <c r="G395" s="3"/>
      <c r="H395" s="3"/>
      <c r="I395" s="3"/>
      <c r="J395" s="3"/>
    </row>
    <row x14ac:dyDescent="0.25" r="396" customHeight="1" ht="18.75">
      <c r="A396" s="17"/>
      <c r="B396" s="17"/>
      <c r="C396" s="3"/>
      <c r="D396" s="3"/>
      <c r="E396" s="3"/>
      <c r="F396" s="3"/>
      <c r="G396" s="3"/>
      <c r="H396" s="3"/>
      <c r="I396" s="3"/>
      <c r="J396" s="3"/>
    </row>
    <row x14ac:dyDescent="0.25" r="397" customHeight="1" ht="18.75">
      <c r="A397" s="17"/>
      <c r="B397" s="17"/>
      <c r="C397" s="3"/>
      <c r="D397" s="3"/>
      <c r="E397" s="3"/>
      <c r="F397" s="3"/>
      <c r="G397" s="3"/>
      <c r="H397" s="3"/>
      <c r="I397" s="3"/>
      <c r="J397" s="3"/>
    </row>
    <row x14ac:dyDescent="0.25" r="398" customHeight="1" ht="18.75">
      <c r="A398" s="17"/>
      <c r="B398" s="17"/>
      <c r="C398" s="3"/>
      <c r="D398" s="3"/>
      <c r="E398" s="3"/>
      <c r="F398" s="3"/>
      <c r="G398" s="3"/>
      <c r="H398" s="3"/>
      <c r="I398" s="3"/>
      <c r="J398" s="3"/>
    </row>
    <row x14ac:dyDescent="0.25" r="399" customHeight="1" ht="18.75">
      <c r="A399" s="17"/>
      <c r="B399" s="17"/>
      <c r="C399" s="3"/>
      <c r="D399" s="3"/>
      <c r="E399" s="3"/>
      <c r="F399" s="3"/>
      <c r="G399" s="3"/>
      <c r="H399" s="3"/>
      <c r="I399" s="3"/>
      <c r="J399" s="3"/>
    </row>
    <row x14ac:dyDescent="0.25" r="400" customHeight="1" ht="18.75">
      <c r="A400" s="17"/>
      <c r="B400" s="17"/>
      <c r="C400" s="3"/>
      <c r="D400" s="3"/>
      <c r="E400" s="3"/>
      <c r="F400" s="3"/>
      <c r="G400" s="3"/>
      <c r="H400" s="3"/>
      <c r="I400" s="3"/>
      <c r="J400" s="3"/>
    </row>
    <row x14ac:dyDescent="0.25" r="401" customHeight="1" ht="18.75">
      <c r="A401" s="17"/>
      <c r="B401" s="17"/>
      <c r="C401" s="3"/>
      <c r="D401" s="3"/>
      <c r="E401" s="3"/>
      <c r="F401" s="3"/>
      <c r="G401" s="3"/>
      <c r="H401" s="3"/>
      <c r="I401" s="3"/>
      <c r="J401" s="3"/>
    </row>
    <row x14ac:dyDescent="0.25" r="402" customHeight="1" ht="18.75">
      <c r="A402" s="17"/>
      <c r="B402" s="17"/>
      <c r="C402" s="3"/>
      <c r="D402" s="3"/>
      <c r="E402" s="3"/>
      <c r="F402" s="3"/>
      <c r="G402" s="3"/>
      <c r="H402" s="3"/>
      <c r="I402" s="3"/>
      <c r="J402" s="3"/>
    </row>
    <row x14ac:dyDescent="0.25" r="403" customHeight="1" ht="18.75">
      <c r="A403" s="17"/>
      <c r="B403" s="17"/>
      <c r="C403" s="3"/>
      <c r="D403" s="3"/>
      <c r="E403" s="3"/>
      <c r="F403" s="3"/>
      <c r="G403" s="3"/>
      <c r="H403" s="3"/>
      <c r="I403" s="3"/>
      <c r="J403" s="3"/>
    </row>
    <row x14ac:dyDescent="0.25" r="404" customHeight="1" ht="18.75">
      <c r="A404" s="17"/>
      <c r="B404" s="17"/>
      <c r="C404" s="3"/>
      <c r="D404" s="3"/>
      <c r="E404" s="3"/>
      <c r="F404" s="3"/>
      <c r="G404" s="3"/>
      <c r="H404" s="3"/>
      <c r="I404" s="3"/>
      <c r="J404" s="3"/>
    </row>
    <row x14ac:dyDescent="0.25" r="405" customHeight="1" ht="18.75">
      <c r="A405" s="17"/>
      <c r="B405" s="17"/>
      <c r="C405" s="3"/>
      <c r="D405" s="3"/>
      <c r="E405" s="3"/>
      <c r="F405" s="3"/>
      <c r="G405" s="3"/>
      <c r="H405" s="3"/>
      <c r="I405" s="3"/>
      <c r="J405" s="3"/>
    </row>
    <row x14ac:dyDescent="0.25" r="406" customHeight="1" ht="18.75">
      <c r="A406" s="17"/>
      <c r="B406" s="17"/>
      <c r="C406" s="3"/>
      <c r="D406" s="3"/>
      <c r="E406" s="3"/>
      <c r="F406" s="3"/>
      <c r="G406" s="3"/>
      <c r="H406" s="3"/>
      <c r="I406" s="3"/>
      <c r="J406" s="3"/>
    </row>
    <row x14ac:dyDescent="0.25" r="407" customHeight="1" ht="18.75">
      <c r="A407" s="17"/>
      <c r="B407" s="17"/>
      <c r="C407" s="3"/>
      <c r="D407" s="3"/>
      <c r="E407" s="3"/>
      <c r="F407" s="3"/>
      <c r="G407" s="3"/>
      <c r="H407" s="3"/>
      <c r="I407" s="3"/>
      <c r="J407" s="3"/>
    </row>
    <row x14ac:dyDescent="0.25" r="408" customHeight="1" ht="18.75">
      <c r="A408" s="17"/>
      <c r="B408" s="17"/>
      <c r="C408" s="3"/>
      <c r="D408" s="3"/>
      <c r="E408" s="3"/>
      <c r="F408" s="3"/>
      <c r="G408" s="3"/>
      <c r="H408" s="3"/>
      <c r="I408" s="3"/>
      <c r="J408" s="3"/>
    </row>
    <row x14ac:dyDescent="0.25" r="409" customHeight="1" ht="18.75">
      <c r="A409" s="17"/>
      <c r="B409" s="17"/>
      <c r="C409" s="3"/>
      <c r="D409" s="3"/>
      <c r="E409" s="3"/>
      <c r="F409" s="3"/>
      <c r="G409" s="3"/>
      <c r="H409" s="3"/>
      <c r="I409" s="3"/>
      <c r="J409" s="3"/>
    </row>
    <row x14ac:dyDescent="0.25" r="410" customHeight="1" ht="18.75">
      <c r="A410" s="17"/>
      <c r="B410" s="17"/>
      <c r="C410" s="3"/>
      <c r="D410" s="3"/>
      <c r="E410" s="3"/>
      <c r="F410" s="3"/>
      <c r="G410" s="3"/>
      <c r="H410" s="3"/>
      <c r="I410" s="3"/>
      <c r="J410" s="3"/>
    </row>
    <row x14ac:dyDescent="0.25" r="411" customHeight="1" ht="18.75">
      <c r="A411" s="17"/>
      <c r="B411" s="17"/>
      <c r="C411" s="3"/>
      <c r="D411" s="3"/>
      <c r="E411" s="3"/>
      <c r="F411" s="3"/>
      <c r="G411" s="3"/>
      <c r="H411" s="3"/>
      <c r="I411" s="3"/>
      <c r="J411" s="3"/>
    </row>
    <row x14ac:dyDescent="0.25" r="412" customHeight="1" ht="18.75">
      <c r="A412" s="17"/>
      <c r="B412" s="17"/>
      <c r="C412" s="3"/>
      <c r="D412" s="3"/>
      <c r="E412" s="3"/>
      <c r="F412" s="3"/>
      <c r="G412" s="3"/>
      <c r="H412" s="3"/>
      <c r="I412" s="3"/>
      <c r="J412" s="3"/>
    </row>
    <row x14ac:dyDescent="0.25" r="413" customHeight="1" ht="18.75">
      <c r="A413" s="17"/>
      <c r="B413" s="17"/>
      <c r="C413" s="3"/>
      <c r="D413" s="3"/>
      <c r="E413" s="3"/>
      <c r="F413" s="3"/>
      <c r="G413" s="3"/>
      <c r="H413" s="3"/>
      <c r="I413" s="3"/>
      <c r="J413" s="3"/>
    </row>
    <row x14ac:dyDescent="0.25" r="414" customHeight="1" ht="18.75">
      <c r="A414" s="17"/>
      <c r="B414" s="17"/>
      <c r="C414" s="3"/>
      <c r="D414" s="3"/>
      <c r="E414" s="3"/>
      <c r="F414" s="3"/>
      <c r="G414" s="3"/>
      <c r="H414" s="3"/>
      <c r="I414" s="3"/>
      <c r="J414" s="3"/>
    </row>
    <row x14ac:dyDescent="0.25" r="415" customHeight="1" ht="18.75">
      <c r="A415" s="17"/>
      <c r="B415" s="17"/>
      <c r="C415" s="3"/>
      <c r="D415" s="3"/>
      <c r="E415" s="3"/>
      <c r="F415" s="3"/>
      <c r="G415" s="3"/>
      <c r="H415" s="3"/>
      <c r="I415" s="3"/>
      <c r="J415" s="3"/>
    </row>
    <row x14ac:dyDescent="0.25" r="416" customHeight="1" ht="18.75">
      <c r="A416" s="17"/>
      <c r="B416" s="17"/>
      <c r="C416" s="3"/>
      <c r="D416" s="3"/>
      <c r="E416" s="3"/>
      <c r="F416" s="3"/>
      <c r="G416" s="3"/>
      <c r="H416" s="3"/>
      <c r="I416" s="3"/>
      <c r="J416" s="3"/>
    </row>
    <row x14ac:dyDescent="0.25" r="417" customHeight="1" ht="18.75">
      <c r="A417" s="17"/>
      <c r="B417" s="17"/>
      <c r="C417" s="3"/>
      <c r="D417" s="3"/>
      <c r="E417" s="3"/>
      <c r="F417" s="3"/>
      <c r="G417" s="3"/>
      <c r="H417" s="3"/>
      <c r="I417" s="3"/>
      <c r="J417" s="3"/>
    </row>
    <row x14ac:dyDescent="0.25" r="418" customHeight="1" ht="18.75">
      <c r="A418" s="17"/>
      <c r="B418" s="17"/>
      <c r="C418" s="3"/>
      <c r="D418" s="3"/>
      <c r="E418" s="3"/>
      <c r="F418" s="3"/>
      <c r="G418" s="3"/>
      <c r="H418" s="3"/>
      <c r="I418" s="3"/>
      <c r="J418" s="3"/>
    </row>
    <row x14ac:dyDescent="0.25" r="419" customHeight="1" ht="18.75">
      <c r="A419" s="17"/>
      <c r="B419" s="17"/>
      <c r="C419" s="3"/>
      <c r="D419" s="3"/>
      <c r="E419" s="3"/>
      <c r="F419" s="3"/>
      <c r="G419" s="3"/>
      <c r="H419" s="3"/>
      <c r="I419" s="3"/>
      <c r="J419" s="3"/>
    </row>
    <row x14ac:dyDescent="0.25" r="420" customHeight="1" ht="18.75">
      <c r="A420" s="17"/>
      <c r="B420" s="17"/>
      <c r="C420" s="3"/>
      <c r="D420" s="3"/>
      <c r="E420" s="3"/>
      <c r="F420" s="3"/>
      <c r="G420" s="3"/>
      <c r="H420" s="3"/>
      <c r="I420" s="3"/>
      <c r="J420" s="3"/>
    </row>
    <row x14ac:dyDescent="0.25" r="421" customHeight="1" ht="18.75">
      <c r="A421" s="17"/>
      <c r="B421" s="17"/>
      <c r="C421" s="3"/>
      <c r="D421" s="3"/>
      <c r="E421" s="3"/>
      <c r="F421" s="3"/>
      <c r="G421" s="3"/>
      <c r="H421" s="3"/>
      <c r="I421" s="3"/>
      <c r="J421" s="3"/>
    </row>
    <row x14ac:dyDescent="0.25" r="422" customHeight="1" ht="18.75">
      <c r="A422" s="17"/>
      <c r="B422" s="17"/>
      <c r="C422" s="3"/>
      <c r="D422" s="3"/>
      <c r="E422" s="3"/>
      <c r="F422" s="3"/>
      <c r="G422" s="3"/>
      <c r="H422" s="3"/>
      <c r="I422" s="3"/>
      <c r="J422" s="3"/>
    </row>
    <row x14ac:dyDescent="0.25" r="423" customHeight="1" ht="18.75">
      <c r="A423" s="17"/>
      <c r="B423" s="17"/>
      <c r="C423" s="3"/>
      <c r="D423" s="3"/>
      <c r="E423" s="3"/>
      <c r="F423" s="3"/>
      <c r="G423" s="3"/>
      <c r="H423" s="3"/>
      <c r="I423" s="3"/>
      <c r="J423" s="3"/>
    </row>
    <row x14ac:dyDescent="0.25" r="424" customHeight="1" ht="18.75">
      <c r="A424" s="17"/>
      <c r="B424" s="17"/>
      <c r="C424" s="3"/>
      <c r="D424" s="3"/>
      <c r="E424" s="3"/>
      <c r="F424" s="3"/>
      <c r="G424" s="3"/>
      <c r="H424" s="3"/>
      <c r="I424" s="3"/>
      <c r="J424" s="3"/>
    </row>
    <row x14ac:dyDescent="0.25" r="425" customHeight="1" ht="18.75">
      <c r="A425" s="17"/>
      <c r="B425" s="17"/>
      <c r="C425" s="3"/>
      <c r="D425" s="3"/>
      <c r="E425" s="3"/>
      <c r="F425" s="3"/>
      <c r="G425" s="3"/>
      <c r="H425" s="3"/>
      <c r="I425" s="3"/>
      <c r="J425" s="3"/>
    </row>
    <row x14ac:dyDescent="0.25" r="426" customHeight="1" ht="18.75">
      <c r="A426" s="17"/>
      <c r="B426" s="17"/>
      <c r="C426" s="3"/>
      <c r="D426" s="3"/>
      <c r="E426" s="3"/>
      <c r="F426" s="3"/>
      <c r="G426" s="3"/>
      <c r="H426" s="3"/>
      <c r="I426" s="3"/>
      <c r="J426" s="3"/>
    </row>
    <row x14ac:dyDescent="0.25" r="427" customHeight="1" ht="18.75">
      <c r="A427" s="17"/>
      <c r="B427" s="17"/>
      <c r="C427" s="3"/>
      <c r="D427" s="3"/>
      <c r="E427" s="3"/>
      <c r="F427" s="3"/>
      <c r="G427" s="3"/>
      <c r="H427" s="3"/>
      <c r="I427" s="3"/>
      <c r="J427" s="3"/>
    </row>
    <row x14ac:dyDescent="0.25" r="428" customHeight="1" ht="18.75">
      <c r="A428" s="17"/>
      <c r="B428" s="17"/>
      <c r="C428" s="3"/>
      <c r="D428" s="3"/>
      <c r="E428" s="3"/>
      <c r="F428" s="3"/>
      <c r="G428" s="3"/>
      <c r="H428" s="3"/>
      <c r="I428" s="3"/>
      <c r="J428" s="3"/>
    </row>
    <row x14ac:dyDescent="0.25" r="429" customHeight="1" ht="18.75">
      <c r="A429" s="17"/>
      <c r="B429" s="17"/>
      <c r="C429" s="3"/>
      <c r="D429" s="3"/>
      <c r="E429" s="3"/>
      <c r="F429" s="3"/>
      <c r="G429" s="3"/>
      <c r="H429" s="3"/>
      <c r="I429" s="3"/>
      <c r="J429" s="3"/>
    </row>
    <row x14ac:dyDescent="0.25" r="430" customHeight="1" ht="18.75">
      <c r="A430" s="17"/>
      <c r="B430" s="17"/>
      <c r="C430" s="3"/>
      <c r="D430" s="3"/>
      <c r="E430" s="3"/>
      <c r="F430" s="3"/>
      <c r="G430" s="3"/>
      <c r="H430" s="3"/>
      <c r="I430" s="3"/>
      <c r="J430" s="3"/>
    </row>
    <row x14ac:dyDescent="0.25" r="431" customHeight="1" ht="18.75">
      <c r="A431" s="17"/>
      <c r="B431" s="17"/>
      <c r="C431" s="3"/>
      <c r="D431" s="3"/>
      <c r="E431" s="3"/>
      <c r="F431" s="3"/>
      <c r="G431" s="3"/>
      <c r="H431" s="3"/>
      <c r="I431" s="3"/>
      <c r="J431" s="3"/>
    </row>
    <row x14ac:dyDescent="0.25" r="432" customHeight="1" ht="18.75">
      <c r="A432" s="17"/>
      <c r="B432" s="17"/>
      <c r="C432" s="3"/>
      <c r="D432" s="3"/>
      <c r="E432" s="3"/>
      <c r="F432" s="3"/>
      <c r="G432" s="3"/>
      <c r="H432" s="3"/>
      <c r="I432" s="3"/>
      <c r="J432" s="3"/>
    </row>
    <row x14ac:dyDescent="0.25" r="433" customHeight="1" ht="18.75">
      <c r="A433" s="17"/>
      <c r="B433" s="17"/>
      <c r="C433" s="3"/>
      <c r="D433" s="3"/>
      <c r="E433" s="3"/>
      <c r="F433" s="3"/>
      <c r="G433" s="3"/>
      <c r="H433" s="3"/>
      <c r="I433" s="3"/>
      <c r="J433" s="3"/>
    </row>
    <row x14ac:dyDescent="0.25" r="434" customHeight="1" ht="18.75">
      <c r="A434" s="17"/>
      <c r="B434" s="17"/>
      <c r="C434" s="3"/>
      <c r="D434" s="3"/>
      <c r="E434" s="3"/>
      <c r="F434" s="3"/>
      <c r="G434" s="3"/>
      <c r="H434" s="3"/>
      <c r="I434" s="3"/>
      <c r="J434" s="3"/>
    </row>
    <row x14ac:dyDescent="0.25" r="435" customHeight="1" ht="18.75">
      <c r="A435" s="17"/>
      <c r="B435" s="17"/>
      <c r="C435" s="3"/>
      <c r="D435" s="3"/>
      <c r="E435" s="3"/>
      <c r="F435" s="3"/>
      <c r="G435" s="3"/>
      <c r="H435" s="3"/>
      <c r="I435" s="3"/>
      <c r="J435" s="3"/>
    </row>
    <row x14ac:dyDescent="0.25" r="436" customHeight="1" ht="18.75">
      <c r="A436" s="17"/>
      <c r="B436" s="17"/>
      <c r="C436" s="3"/>
      <c r="D436" s="3"/>
      <c r="E436" s="3"/>
      <c r="F436" s="3"/>
      <c r="G436" s="3"/>
      <c r="H436" s="3"/>
      <c r="I436" s="3"/>
      <c r="J436" s="3"/>
    </row>
    <row x14ac:dyDescent="0.25" r="437" customHeight="1" ht="18.75">
      <c r="A437" s="17"/>
      <c r="B437" s="17"/>
      <c r="C437" s="3"/>
      <c r="D437" s="3"/>
      <c r="E437" s="3"/>
      <c r="F437" s="3"/>
      <c r="G437" s="3"/>
      <c r="H437" s="3"/>
      <c r="I437" s="3"/>
      <c r="J437" s="3"/>
    </row>
    <row x14ac:dyDescent="0.25" r="438" customHeight="1" ht="18.75">
      <c r="A438" s="17"/>
      <c r="B438" s="17"/>
      <c r="C438" s="3"/>
      <c r="D438" s="3"/>
      <c r="E438" s="3"/>
      <c r="F438" s="3"/>
      <c r="G438" s="3"/>
      <c r="H438" s="3"/>
      <c r="I438" s="3"/>
      <c r="J438" s="3"/>
    </row>
    <row x14ac:dyDescent="0.25" r="439" customHeight="1" ht="18.75">
      <c r="A439" s="17"/>
      <c r="B439" s="17"/>
      <c r="C439" s="3"/>
      <c r="D439" s="3"/>
      <c r="E439" s="3"/>
      <c r="F439" s="3"/>
      <c r="G439" s="3"/>
      <c r="H439" s="3"/>
      <c r="I439" s="3"/>
      <c r="J439" s="3"/>
    </row>
    <row x14ac:dyDescent="0.25" r="440" customHeight="1" ht="18.75">
      <c r="A440" s="17"/>
      <c r="B440" s="17"/>
      <c r="C440" s="3"/>
      <c r="D440" s="3"/>
      <c r="E440" s="3"/>
      <c r="F440" s="3"/>
      <c r="G440" s="3"/>
      <c r="H440" s="3"/>
      <c r="I440" s="3"/>
      <c r="J440" s="3"/>
    </row>
    <row x14ac:dyDescent="0.25" r="441" customHeight="1" ht="18.75">
      <c r="A441" s="17"/>
      <c r="B441" s="17"/>
      <c r="C441" s="3"/>
      <c r="D441" s="3"/>
      <c r="E441" s="3"/>
      <c r="F441" s="3"/>
      <c r="G441" s="3"/>
      <c r="H441" s="3"/>
      <c r="I441" s="3"/>
      <c r="J441" s="3"/>
    </row>
    <row x14ac:dyDescent="0.25" r="442" customHeight="1" ht="18.75">
      <c r="A442" s="17"/>
      <c r="B442" s="17"/>
      <c r="C442" s="3"/>
      <c r="D442" s="3"/>
      <c r="E442" s="3"/>
      <c r="F442" s="3"/>
      <c r="G442" s="3"/>
      <c r="H442" s="3"/>
      <c r="I442" s="3"/>
      <c r="J442" s="3"/>
    </row>
    <row x14ac:dyDescent="0.25" r="443" customHeight="1" ht="18.75">
      <c r="A443" s="17"/>
      <c r="B443" s="17"/>
      <c r="C443" s="3"/>
      <c r="D443" s="3"/>
      <c r="E443" s="3"/>
      <c r="F443" s="3"/>
      <c r="G443" s="3"/>
      <c r="H443" s="3"/>
      <c r="I443" s="3"/>
      <c r="J443" s="3"/>
    </row>
    <row x14ac:dyDescent="0.25" r="444" customHeight="1" ht="18.75">
      <c r="A444" s="17"/>
      <c r="B444" s="17"/>
      <c r="C444" s="3"/>
      <c r="D444" s="3"/>
      <c r="E444" s="3"/>
      <c r="F444" s="3"/>
      <c r="G444" s="3"/>
      <c r="H444" s="3"/>
      <c r="I444" s="3"/>
      <c r="J444" s="3"/>
    </row>
    <row x14ac:dyDescent="0.25" r="445" customHeight="1" ht="18.75">
      <c r="A445" s="17"/>
      <c r="B445" s="17"/>
      <c r="C445" s="3"/>
      <c r="D445" s="3"/>
      <c r="E445" s="3"/>
      <c r="F445" s="3"/>
      <c r="G445" s="3"/>
      <c r="H445" s="3"/>
      <c r="I445" s="3"/>
      <c r="J445" s="3"/>
    </row>
    <row x14ac:dyDescent="0.25" r="446" customHeight="1" ht="18.75">
      <c r="A446" s="17"/>
      <c r="B446" s="17"/>
      <c r="C446" s="3"/>
      <c r="D446" s="3"/>
      <c r="E446" s="3"/>
      <c r="F446" s="3"/>
      <c r="G446" s="3"/>
      <c r="H446" s="3"/>
      <c r="I446" s="3"/>
      <c r="J446" s="3"/>
    </row>
    <row x14ac:dyDescent="0.25" r="447" customHeight="1" ht="18.75">
      <c r="A447" s="17"/>
      <c r="B447" s="17"/>
      <c r="C447" s="3"/>
      <c r="D447" s="3"/>
      <c r="E447" s="3"/>
      <c r="F447" s="3"/>
      <c r="G447" s="3"/>
      <c r="H447" s="3"/>
      <c r="I447" s="3"/>
      <c r="J447" s="3"/>
    </row>
    <row x14ac:dyDescent="0.25" r="448" customHeight="1" ht="18.75">
      <c r="A448" s="17"/>
      <c r="B448" s="17"/>
      <c r="C448" s="3"/>
      <c r="D448" s="3"/>
      <c r="E448" s="3"/>
      <c r="F448" s="3"/>
      <c r="G448" s="3"/>
      <c r="H448" s="3"/>
      <c r="I448" s="3"/>
      <c r="J448" s="3"/>
    </row>
    <row x14ac:dyDescent="0.25" r="449" customHeight="1" ht="18.75">
      <c r="A449" s="17"/>
      <c r="B449" s="17"/>
      <c r="C449" s="3"/>
      <c r="D449" s="3"/>
      <c r="E449" s="3"/>
      <c r="F449" s="3"/>
      <c r="G449" s="3"/>
      <c r="H449" s="3"/>
      <c r="I449" s="3"/>
      <c r="J449" s="3"/>
    </row>
    <row x14ac:dyDescent="0.25" r="450" customHeight="1" ht="18.75">
      <c r="A450" s="17"/>
      <c r="B450" s="17"/>
      <c r="C450" s="3"/>
      <c r="D450" s="3"/>
      <c r="E450" s="3"/>
      <c r="F450" s="3"/>
      <c r="G450" s="3"/>
      <c r="H450" s="3"/>
      <c r="I450" s="3"/>
      <c r="J450" s="3"/>
    </row>
    <row x14ac:dyDescent="0.25" r="451" customHeight="1" ht="18.75">
      <c r="A451" s="17"/>
      <c r="B451" s="17"/>
      <c r="C451" s="3"/>
      <c r="D451" s="3"/>
      <c r="E451" s="3"/>
      <c r="F451" s="3"/>
      <c r="G451" s="3"/>
      <c r="H451" s="3"/>
      <c r="I451" s="3"/>
      <c r="J451" s="3"/>
    </row>
    <row x14ac:dyDescent="0.25" r="452" customHeight="1" ht="18.75">
      <c r="A452" s="17"/>
      <c r="B452" s="17"/>
      <c r="C452" s="3"/>
      <c r="D452" s="3"/>
      <c r="E452" s="3"/>
      <c r="F452" s="3"/>
      <c r="G452" s="3"/>
      <c r="H452" s="3"/>
      <c r="I452" s="3"/>
      <c r="J452" s="3"/>
    </row>
    <row x14ac:dyDescent="0.25" r="453" customHeight="1" ht="18.75">
      <c r="A453" s="17"/>
      <c r="B453" s="17"/>
      <c r="C453" s="3"/>
      <c r="D453" s="3"/>
      <c r="E453" s="3"/>
      <c r="F453" s="3"/>
      <c r="G453" s="3"/>
      <c r="H453" s="3"/>
      <c r="I453" s="3"/>
      <c r="J453" s="3"/>
    </row>
    <row x14ac:dyDescent="0.25" r="454" customHeight="1" ht="18.75">
      <c r="A454" s="17"/>
      <c r="B454" s="17"/>
      <c r="C454" s="3"/>
      <c r="D454" s="3"/>
      <c r="E454" s="3"/>
      <c r="F454" s="3"/>
      <c r="G454" s="3"/>
      <c r="H454" s="3"/>
      <c r="I454" s="3"/>
      <c r="J454" s="3"/>
    </row>
    <row x14ac:dyDescent="0.25" r="455" customHeight="1" ht="18.75">
      <c r="A455" s="17"/>
      <c r="B455" s="17"/>
      <c r="C455" s="3"/>
      <c r="D455" s="3"/>
      <c r="E455" s="3"/>
      <c r="F455" s="3"/>
      <c r="G455" s="3"/>
      <c r="H455" s="3"/>
      <c r="I455" s="3"/>
      <c r="J455" s="3"/>
    </row>
    <row x14ac:dyDescent="0.25" r="456" customHeight="1" ht="18.75">
      <c r="A456" s="17"/>
      <c r="B456" s="17"/>
      <c r="C456" s="3"/>
      <c r="D456" s="3"/>
      <c r="E456" s="3"/>
      <c r="F456" s="3"/>
      <c r="G456" s="3"/>
      <c r="H456" s="3"/>
      <c r="I456" s="3"/>
      <c r="J456" s="3"/>
    </row>
    <row x14ac:dyDescent="0.25" r="457" customHeight="1" ht="18.75">
      <c r="A457" s="17"/>
      <c r="B457" s="17"/>
      <c r="C457" s="3"/>
      <c r="D457" s="3"/>
      <c r="E457" s="3"/>
      <c r="F457" s="3"/>
      <c r="G457" s="3"/>
      <c r="H457" s="3"/>
      <c r="I457" s="3"/>
      <c r="J457" s="3"/>
    </row>
    <row x14ac:dyDescent="0.25" r="458" customHeight="1" ht="18.75">
      <c r="A458" s="17"/>
      <c r="B458" s="17"/>
      <c r="C458" s="3"/>
      <c r="D458" s="3"/>
      <c r="E458" s="3"/>
      <c r="F458" s="3"/>
      <c r="G458" s="3"/>
      <c r="H458" s="3"/>
      <c r="I458" s="3"/>
      <c r="J458" s="3"/>
    </row>
    <row x14ac:dyDescent="0.25" r="459" customHeight="1" ht="18.75">
      <c r="A459" s="17"/>
      <c r="B459" s="17"/>
      <c r="C459" s="3"/>
      <c r="D459" s="3"/>
      <c r="E459" s="3"/>
      <c r="F459" s="3"/>
      <c r="G459" s="3"/>
      <c r="H459" s="3"/>
      <c r="I459" s="3"/>
      <c r="J459" s="3"/>
    </row>
    <row x14ac:dyDescent="0.25" r="460" customHeight="1" ht="18.75">
      <c r="A460" s="17"/>
      <c r="B460" s="17"/>
      <c r="C460" s="3"/>
      <c r="D460" s="3"/>
      <c r="E460" s="3"/>
      <c r="F460" s="3"/>
      <c r="G460" s="3"/>
      <c r="H460" s="3"/>
      <c r="I460" s="3"/>
      <c r="J460" s="3"/>
    </row>
    <row x14ac:dyDescent="0.25" r="461" customHeight="1" ht="18.75">
      <c r="A461" s="17"/>
      <c r="B461" s="17"/>
      <c r="C461" s="3"/>
      <c r="D461" s="3"/>
      <c r="E461" s="3"/>
      <c r="F461" s="3"/>
      <c r="G461" s="3"/>
      <c r="H461" s="3"/>
      <c r="I461" s="3"/>
      <c r="J461" s="3"/>
    </row>
    <row x14ac:dyDescent="0.25" r="462" customHeight="1" ht="18.75">
      <c r="A462" s="17"/>
      <c r="B462" s="17"/>
      <c r="C462" s="3"/>
      <c r="D462" s="3"/>
      <c r="E462" s="3"/>
      <c r="F462" s="3"/>
      <c r="G462" s="3"/>
      <c r="H462" s="3"/>
      <c r="I462" s="3"/>
      <c r="J462" s="3"/>
    </row>
    <row x14ac:dyDescent="0.25" r="463" customHeight="1" ht="18.75">
      <c r="A463" s="17"/>
      <c r="B463" s="17"/>
      <c r="C463" s="3"/>
      <c r="D463" s="3"/>
      <c r="E463" s="3"/>
      <c r="F463" s="3"/>
      <c r="G463" s="3"/>
      <c r="H463" s="3"/>
      <c r="I463" s="3"/>
      <c r="J463" s="3"/>
    </row>
    <row x14ac:dyDescent="0.25" r="464" customHeight="1" ht="18.75">
      <c r="A464" s="17"/>
      <c r="B464" s="17"/>
      <c r="C464" s="3"/>
      <c r="D464" s="3"/>
      <c r="E464" s="3"/>
      <c r="F464" s="3"/>
      <c r="G464" s="3"/>
      <c r="H464" s="3"/>
      <c r="I464" s="3"/>
      <c r="J464" s="3"/>
    </row>
    <row x14ac:dyDescent="0.25" r="465" customHeight="1" ht="18.75">
      <c r="A465" s="17"/>
      <c r="B465" s="17"/>
      <c r="C465" s="3"/>
      <c r="D465" s="3"/>
      <c r="E465" s="3"/>
      <c r="F465" s="3"/>
      <c r="G465" s="3"/>
      <c r="H465" s="3"/>
      <c r="I465" s="3"/>
      <c r="J465" s="3"/>
    </row>
    <row x14ac:dyDescent="0.25" r="466" customHeight="1" ht="18.75">
      <c r="A466" s="17"/>
      <c r="B466" s="17"/>
      <c r="C466" s="3"/>
      <c r="D466" s="3"/>
      <c r="E466" s="3"/>
      <c r="F466" s="3"/>
      <c r="G466" s="3"/>
      <c r="H466" s="3"/>
      <c r="I466" s="3"/>
      <c r="J466" s="3"/>
    </row>
    <row x14ac:dyDescent="0.25" r="467" customHeight="1" ht="18.75">
      <c r="A467" s="17"/>
      <c r="B467" s="17"/>
      <c r="C467" s="3"/>
      <c r="D467" s="3"/>
      <c r="E467" s="3"/>
      <c r="F467" s="3"/>
      <c r="G467" s="3"/>
      <c r="H467" s="3"/>
      <c r="I467" s="3"/>
      <c r="J467" s="3"/>
    </row>
    <row x14ac:dyDescent="0.25" r="468" customHeight="1" ht="18.75">
      <c r="A468" s="17"/>
      <c r="B468" s="17"/>
      <c r="C468" s="3"/>
      <c r="D468" s="3"/>
      <c r="E468" s="3"/>
      <c r="F468" s="3"/>
      <c r="G468" s="3"/>
      <c r="H468" s="3"/>
      <c r="I468" s="3"/>
      <c r="J468" s="3"/>
    </row>
    <row x14ac:dyDescent="0.25" r="469" customHeight="1" ht="18.75">
      <c r="A469" s="17"/>
      <c r="B469" s="17"/>
      <c r="C469" s="3"/>
      <c r="D469" s="3"/>
      <c r="E469" s="3"/>
      <c r="F469" s="3"/>
      <c r="G469" s="3"/>
      <c r="H469" s="3"/>
      <c r="I469" s="3"/>
      <c r="J469" s="3"/>
    </row>
    <row x14ac:dyDescent="0.25" r="470" customHeight="1" ht="18.75">
      <c r="A470" s="17"/>
      <c r="B470" s="17"/>
      <c r="C470" s="3"/>
      <c r="D470" s="3"/>
      <c r="E470" s="3"/>
      <c r="F470" s="3"/>
      <c r="G470" s="3"/>
      <c r="H470" s="3"/>
      <c r="I470" s="3"/>
      <c r="J470" s="3"/>
    </row>
    <row x14ac:dyDescent="0.25" r="471" customHeight="1" ht="18.75">
      <c r="A471" s="17"/>
      <c r="B471" s="17"/>
      <c r="C471" s="3"/>
      <c r="D471" s="3"/>
      <c r="E471" s="3"/>
      <c r="F471" s="3"/>
      <c r="G471" s="3"/>
      <c r="H471" s="3"/>
      <c r="I471" s="3"/>
      <c r="J471" s="3"/>
    </row>
    <row x14ac:dyDescent="0.25" r="472" customHeight="1" ht="18.75">
      <c r="A472" s="17"/>
      <c r="B472" s="17"/>
      <c r="C472" s="3"/>
      <c r="D472" s="3"/>
      <c r="E472" s="3"/>
      <c r="F472" s="3"/>
      <c r="G472" s="3"/>
      <c r="H472" s="3"/>
      <c r="I472" s="3"/>
      <c r="J472" s="3"/>
    </row>
    <row x14ac:dyDescent="0.25" r="473" customHeight="1" ht="18.75">
      <c r="A473" s="17"/>
      <c r="B473" s="17"/>
      <c r="C473" s="3"/>
      <c r="D473" s="3"/>
      <c r="E473" s="3"/>
      <c r="F473" s="3"/>
      <c r="G473" s="3"/>
      <c r="H473" s="3"/>
      <c r="I473" s="3"/>
      <c r="J473" s="3"/>
    </row>
    <row x14ac:dyDescent="0.25" r="474" customHeight="1" ht="18.75">
      <c r="A474" s="17"/>
      <c r="B474" s="17"/>
      <c r="C474" s="3"/>
      <c r="D474" s="3"/>
      <c r="E474" s="3"/>
      <c r="F474" s="3"/>
      <c r="G474" s="3"/>
      <c r="H474" s="3"/>
      <c r="I474" s="3"/>
      <c r="J474" s="3"/>
    </row>
    <row x14ac:dyDescent="0.25" r="475" customHeight="1" ht="18.75">
      <c r="A475" s="17"/>
      <c r="B475" s="17"/>
      <c r="C475" s="3"/>
      <c r="D475" s="3"/>
      <c r="E475" s="3"/>
      <c r="F475" s="3"/>
      <c r="G475" s="3"/>
      <c r="H475" s="3"/>
      <c r="I475" s="3"/>
      <c r="J475" s="3"/>
    </row>
    <row x14ac:dyDescent="0.25" r="476" customHeight="1" ht="18.75">
      <c r="A476" s="17"/>
      <c r="B476" s="17"/>
      <c r="C476" s="3"/>
      <c r="D476" s="3"/>
      <c r="E476" s="3"/>
      <c r="F476" s="3"/>
      <c r="G476" s="3"/>
      <c r="H476" s="3"/>
      <c r="I476" s="3"/>
      <c r="J476" s="3"/>
    </row>
    <row x14ac:dyDescent="0.25" r="477" customHeight="1" ht="18.75">
      <c r="A477" s="17"/>
      <c r="B477" s="17"/>
      <c r="C477" s="3"/>
      <c r="D477" s="3"/>
      <c r="E477" s="3"/>
      <c r="F477" s="3"/>
      <c r="G477" s="3"/>
      <c r="H477" s="3"/>
      <c r="I477" s="3"/>
      <c r="J477" s="3"/>
    </row>
    <row x14ac:dyDescent="0.25" r="478" customHeight="1" ht="18.75">
      <c r="A478" s="17"/>
      <c r="B478" s="17"/>
      <c r="C478" s="3"/>
      <c r="D478" s="3"/>
      <c r="E478" s="3"/>
      <c r="F478" s="3"/>
      <c r="G478" s="3"/>
      <c r="H478" s="3"/>
      <c r="I478" s="3"/>
      <c r="J478" s="3"/>
    </row>
    <row x14ac:dyDescent="0.25" r="479" customHeight="1" ht="18.75">
      <c r="A479" s="17"/>
      <c r="B479" s="17"/>
      <c r="C479" s="3"/>
      <c r="D479" s="3"/>
      <c r="E479" s="3"/>
      <c r="F479" s="3"/>
      <c r="G479" s="3"/>
      <c r="H479" s="3"/>
      <c r="I479" s="3"/>
      <c r="J479" s="3"/>
    </row>
    <row x14ac:dyDescent="0.25" r="480" customHeight="1" ht="18.75">
      <c r="A480" s="17"/>
      <c r="B480" s="17"/>
      <c r="C480" s="3"/>
      <c r="D480" s="3"/>
      <c r="E480" s="3"/>
      <c r="F480" s="3"/>
      <c r="G480" s="3"/>
      <c r="H480" s="3"/>
      <c r="I480" s="3"/>
      <c r="J480" s="3"/>
    </row>
    <row x14ac:dyDescent="0.25" r="481" customHeight="1" ht="18.75">
      <c r="A481" s="17"/>
      <c r="B481" s="17"/>
      <c r="C481" s="3"/>
      <c r="D481" s="3"/>
      <c r="E481" s="3"/>
      <c r="F481" s="3"/>
      <c r="G481" s="3"/>
      <c r="H481" s="3"/>
      <c r="I481" s="3"/>
      <c r="J481" s="3"/>
    </row>
    <row x14ac:dyDescent="0.25" r="482" customHeight="1" ht="18.75">
      <c r="A482" s="17"/>
      <c r="B482" s="17"/>
      <c r="C482" s="3"/>
      <c r="D482" s="3"/>
      <c r="E482" s="3"/>
      <c r="F482" s="3"/>
      <c r="G482" s="3"/>
      <c r="H482" s="3"/>
      <c r="I482" s="3"/>
      <c r="J482" s="3"/>
    </row>
    <row x14ac:dyDescent="0.25" r="483" customHeight="1" ht="18.75">
      <c r="A483" s="17"/>
      <c r="B483" s="17"/>
      <c r="C483" s="3"/>
      <c r="D483" s="3"/>
      <c r="E483" s="3"/>
      <c r="F483" s="3"/>
      <c r="G483" s="3"/>
      <c r="H483" s="3"/>
      <c r="I483" s="3"/>
      <c r="J483" s="3"/>
    </row>
    <row x14ac:dyDescent="0.25" r="484" customHeight="1" ht="18.75">
      <c r="A484" s="17"/>
      <c r="B484" s="17"/>
      <c r="C484" s="3"/>
      <c r="D484" s="3"/>
      <c r="E484" s="3"/>
      <c r="F484" s="3"/>
      <c r="G484" s="3"/>
      <c r="H484" s="3"/>
      <c r="I484" s="3"/>
      <c r="J484" s="3"/>
    </row>
    <row x14ac:dyDescent="0.25" r="485" customHeight="1" ht="18.75">
      <c r="A485" s="17"/>
      <c r="B485" s="17"/>
      <c r="C485" s="3"/>
      <c r="D485" s="3"/>
      <c r="E485" s="3"/>
      <c r="F485" s="3"/>
      <c r="G485" s="3"/>
      <c r="H485" s="3"/>
      <c r="I485" s="3"/>
      <c r="J485" s="3"/>
    </row>
    <row x14ac:dyDescent="0.25" r="486" customHeight="1" ht="18.75">
      <c r="A486" s="17"/>
      <c r="B486" s="17"/>
      <c r="C486" s="3"/>
      <c r="D486" s="3"/>
      <c r="E486" s="3"/>
      <c r="F486" s="3"/>
      <c r="G486" s="3"/>
      <c r="H486" s="3"/>
      <c r="I486" s="3"/>
      <c r="J486" s="3"/>
    </row>
    <row x14ac:dyDescent="0.25" r="487" customHeight="1" ht="18.75">
      <c r="A487" s="17"/>
      <c r="B487" s="17"/>
      <c r="C487" s="3"/>
      <c r="D487" s="3"/>
      <c r="E487" s="3"/>
      <c r="F487" s="3"/>
      <c r="G487" s="3"/>
      <c r="H487" s="3"/>
      <c r="I487" s="3"/>
      <c r="J487" s="3"/>
    </row>
    <row x14ac:dyDescent="0.25" r="488" customHeight="1" ht="18.75">
      <c r="A488" s="17"/>
      <c r="B488" s="17"/>
      <c r="C488" s="3"/>
      <c r="D488" s="3"/>
      <c r="E488" s="3"/>
      <c r="F488" s="3"/>
      <c r="G488" s="3"/>
      <c r="H488" s="3"/>
      <c r="I488" s="3"/>
      <c r="J488" s="3"/>
    </row>
    <row x14ac:dyDescent="0.25" r="489" customHeight="1" ht="18.75">
      <c r="A489" s="17"/>
      <c r="B489" s="17"/>
      <c r="C489" s="3"/>
      <c r="D489" s="3"/>
      <c r="E489" s="3"/>
      <c r="F489" s="3"/>
      <c r="G489" s="3"/>
      <c r="H489" s="3"/>
      <c r="I489" s="3"/>
      <c r="J489" s="3"/>
    </row>
    <row x14ac:dyDescent="0.25" r="490" customHeight="1" ht="18.75">
      <c r="A490" s="17"/>
      <c r="B490" s="17"/>
      <c r="C490" s="3"/>
      <c r="D490" s="3"/>
      <c r="E490" s="3"/>
      <c r="F490" s="3"/>
      <c r="G490" s="3"/>
      <c r="H490" s="3"/>
      <c r="I490" s="3"/>
      <c r="J490" s="3"/>
    </row>
    <row x14ac:dyDescent="0.25" r="491" customHeight="1" ht="18.75">
      <c r="A491" s="17"/>
      <c r="B491" s="17"/>
      <c r="C491" s="3"/>
      <c r="D491" s="3"/>
      <c r="E491" s="3"/>
      <c r="F491" s="3"/>
      <c r="G491" s="3"/>
      <c r="H491" s="3"/>
      <c r="I491" s="3"/>
      <c r="J491" s="3"/>
    </row>
    <row x14ac:dyDescent="0.25" r="492" customHeight="1" ht="18.75">
      <c r="A492" s="17"/>
      <c r="B492" s="17"/>
      <c r="C492" s="3"/>
      <c r="D492" s="3"/>
      <c r="E492" s="3"/>
      <c r="F492" s="3"/>
      <c r="G492" s="3"/>
      <c r="H492" s="3"/>
      <c r="I492" s="3"/>
      <c r="J492" s="3"/>
    </row>
    <row x14ac:dyDescent="0.25" r="493" customHeight="1" ht="18.75">
      <c r="A493" s="17"/>
      <c r="B493" s="17"/>
      <c r="C493" s="3"/>
      <c r="D493" s="3"/>
      <c r="E493" s="3"/>
      <c r="F493" s="3"/>
      <c r="G493" s="3"/>
      <c r="H493" s="3"/>
      <c r="I493" s="3"/>
      <c r="J493" s="3"/>
    </row>
    <row x14ac:dyDescent="0.25" r="494" customHeight="1" ht="18.75">
      <c r="A494" s="17"/>
      <c r="B494" s="17"/>
      <c r="C494" s="3"/>
      <c r="D494" s="3"/>
      <c r="E494" s="3"/>
      <c r="F494" s="3"/>
      <c r="G494" s="3"/>
      <c r="H494" s="3"/>
      <c r="I494" s="3"/>
      <c r="J494" s="3"/>
    </row>
    <row x14ac:dyDescent="0.25" r="495" customHeight="1" ht="18.75">
      <c r="A495" s="17"/>
      <c r="B495" s="17"/>
      <c r="C495" s="3"/>
      <c r="D495" s="3"/>
      <c r="E495" s="3"/>
      <c r="F495" s="3"/>
      <c r="G495" s="3"/>
      <c r="H495" s="3"/>
      <c r="I495" s="3"/>
      <c r="J495" s="3"/>
    </row>
    <row x14ac:dyDescent="0.25" r="496" customHeight="1" ht="18.75">
      <c r="A496" s="17"/>
      <c r="B496" s="17"/>
      <c r="C496" s="3"/>
      <c r="D496" s="3"/>
      <c r="E496" s="3"/>
      <c r="F496" s="3"/>
      <c r="G496" s="3"/>
      <c r="H496" s="3"/>
      <c r="I496" s="3"/>
      <c r="J496" s="3"/>
    </row>
    <row x14ac:dyDescent="0.25" r="497" customHeight="1" ht="18.75">
      <c r="A497" s="17"/>
      <c r="B497" s="17"/>
      <c r="C497" s="3"/>
      <c r="D497" s="3"/>
      <c r="E497" s="3"/>
      <c r="F497" s="3"/>
      <c r="G497" s="3"/>
      <c r="H497" s="3"/>
      <c r="I497" s="3"/>
      <c r="J497" s="3"/>
    </row>
    <row x14ac:dyDescent="0.25" r="498" customHeight="1" ht="18.75">
      <c r="A498" s="17"/>
      <c r="B498" s="17"/>
      <c r="C498" s="3"/>
      <c r="D498" s="3"/>
      <c r="E498" s="3"/>
      <c r="F498" s="3"/>
      <c r="G498" s="3"/>
      <c r="H498" s="3"/>
      <c r="I498" s="3"/>
      <c r="J498" s="3"/>
    </row>
    <row x14ac:dyDescent="0.25" r="499" customHeight="1" ht="18.75">
      <c r="A499" s="17"/>
      <c r="B499" s="17"/>
      <c r="C499" s="3"/>
      <c r="D499" s="3"/>
      <c r="E499" s="3"/>
      <c r="F499" s="3"/>
      <c r="G499" s="3"/>
      <c r="H499" s="3"/>
      <c r="I499" s="3"/>
      <c r="J499" s="3"/>
    </row>
    <row x14ac:dyDescent="0.25" r="500" customHeight="1" ht="18.75">
      <c r="A500" s="17"/>
      <c r="B500" s="17"/>
      <c r="C500" s="3"/>
      <c r="D500" s="3"/>
      <c r="E500" s="3"/>
      <c r="F500" s="3"/>
      <c r="G500" s="3"/>
      <c r="H500" s="3"/>
      <c r="I500" s="3"/>
      <c r="J500" s="3"/>
    </row>
    <row x14ac:dyDescent="0.25" r="501" customHeight="1" ht="18.75">
      <c r="A501" s="17"/>
      <c r="B501" s="17"/>
      <c r="C501" s="3"/>
      <c r="D501" s="3"/>
      <c r="E501" s="3"/>
      <c r="F501" s="3"/>
      <c r="G501" s="3"/>
      <c r="H501" s="3"/>
      <c r="I501" s="3"/>
      <c r="J501" s="3"/>
    </row>
    <row x14ac:dyDescent="0.25" r="502" customHeight="1" ht="18.75">
      <c r="A502" s="17"/>
      <c r="B502" s="17"/>
      <c r="C502" s="3"/>
      <c r="D502" s="3"/>
      <c r="E502" s="3"/>
      <c r="F502" s="3"/>
      <c r="G502" s="3"/>
      <c r="H502" s="3"/>
      <c r="I502" s="3"/>
      <c r="J502" s="3"/>
    </row>
    <row x14ac:dyDescent="0.25" r="503" customHeight="1" ht="18.75">
      <c r="A503" s="17"/>
      <c r="B503" s="17"/>
      <c r="C503" s="3"/>
      <c r="D503" s="3"/>
      <c r="E503" s="3"/>
      <c r="F503" s="3"/>
      <c r="G503" s="3"/>
      <c r="H503" s="3"/>
      <c r="I503" s="3"/>
      <c r="J503" s="3"/>
    </row>
    <row x14ac:dyDescent="0.25" r="504" customHeight="1" ht="18.75">
      <c r="A504" s="17"/>
      <c r="B504" s="17"/>
      <c r="C504" s="3"/>
      <c r="D504" s="3"/>
      <c r="E504" s="3"/>
      <c r="F504" s="3"/>
      <c r="G504" s="3"/>
      <c r="H504" s="3"/>
      <c r="I504" s="3"/>
      <c r="J504" s="3"/>
    </row>
    <row x14ac:dyDescent="0.25" r="505" customHeight="1" ht="18.75">
      <c r="A505" s="17"/>
      <c r="B505" s="17"/>
      <c r="C505" s="3"/>
      <c r="D505" s="3"/>
      <c r="E505" s="3"/>
      <c r="F505" s="3"/>
      <c r="G505" s="3"/>
      <c r="H505" s="3"/>
      <c r="I505" s="3"/>
      <c r="J505" s="3"/>
    </row>
    <row x14ac:dyDescent="0.25" r="506" customHeight="1" ht="18.75">
      <c r="A506" s="17"/>
      <c r="B506" s="17"/>
      <c r="C506" s="3"/>
      <c r="D506" s="3"/>
      <c r="E506" s="3"/>
      <c r="F506" s="3"/>
      <c r="G506" s="3"/>
      <c r="H506" s="3"/>
      <c r="I506" s="3"/>
      <c r="J506" s="3"/>
    </row>
    <row x14ac:dyDescent="0.25" r="507" customHeight="1" ht="18.75">
      <c r="A507" s="17"/>
      <c r="B507" s="17"/>
      <c r="C507" s="3"/>
      <c r="D507" s="3"/>
      <c r="E507" s="3"/>
      <c r="F507" s="3"/>
      <c r="G507" s="3"/>
      <c r="H507" s="3"/>
      <c r="I507" s="3"/>
      <c r="J507" s="3"/>
    </row>
    <row x14ac:dyDescent="0.25" r="508" customHeight="1" ht="18.75">
      <c r="A508" s="17"/>
      <c r="B508" s="17"/>
      <c r="C508" s="3"/>
      <c r="D508" s="3"/>
      <c r="E508" s="3"/>
      <c r="F508" s="3"/>
      <c r="G508" s="3"/>
      <c r="H508" s="3"/>
      <c r="I508" s="3"/>
      <c r="J508" s="3"/>
    </row>
    <row x14ac:dyDescent="0.25" r="509" customHeight="1" ht="18.75">
      <c r="A509" s="17"/>
      <c r="B509" s="17"/>
      <c r="C509" s="3"/>
      <c r="D509" s="3"/>
      <c r="E509" s="3"/>
      <c r="F509" s="3"/>
      <c r="G509" s="3"/>
      <c r="H509" s="3"/>
      <c r="I509" s="3"/>
      <c r="J509" s="3"/>
    </row>
    <row x14ac:dyDescent="0.25" r="510" customHeight="1" ht="18.75">
      <c r="A510" s="17"/>
      <c r="B510" s="17"/>
      <c r="C510" s="3"/>
      <c r="D510" s="3"/>
      <c r="E510" s="3"/>
      <c r="F510" s="3"/>
      <c r="G510" s="3"/>
      <c r="H510" s="3"/>
      <c r="I510" s="3"/>
      <c r="J510" s="3"/>
    </row>
    <row x14ac:dyDescent="0.25" r="511" customHeight="1" ht="18.75">
      <c r="A511" s="17"/>
      <c r="B511" s="17"/>
      <c r="C511" s="3"/>
      <c r="D511" s="3"/>
      <c r="E511" s="3"/>
      <c r="F511" s="3"/>
      <c r="G511" s="3"/>
      <c r="H511" s="3"/>
      <c r="I511" s="3"/>
      <c r="J511" s="3"/>
    </row>
    <row x14ac:dyDescent="0.25" r="512" customHeight="1" ht="18.75">
      <c r="A512" s="17"/>
      <c r="B512" s="17"/>
      <c r="C512" s="3"/>
      <c r="D512" s="3"/>
      <c r="E512" s="3"/>
      <c r="F512" s="3"/>
      <c r="G512" s="3"/>
      <c r="H512" s="3"/>
      <c r="I512" s="3"/>
      <c r="J512" s="3"/>
    </row>
    <row x14ac:dyDescent="0.25" r="513" customHeight="1" ht="18.75">
      <c r="A513" s="17"/>
      <c r="B513" s="17"/>
      <c r="C513" s="3"/>
      <c r="D513" s="3"/>
      <c r="E513" s="3"/>
      <c r="F513" s="3"/>
      <c r="G513" s="3"/>
      <c r="H513" s="3"/>
      <c r="I513" s="3"/>
      <c r="J513" s="3"/>
    </row>
    <row x14ac:dyDescent="0.25" r="514" customHeight="1" ht="18.75">
      <c r="A514" s="17"/>
      <c r="B514" s="17"/>
      <c r="C514" s="3"/>
      <c r="D514" s="3"/>
      <c r="E514" s="3"/>
      <c r="F514" s="3"/>
      <c r="G514" s="3"/>
      <c r="H514" s="3"/>
      <c r="I514" s="3"/>
      <c r="J514" s="3"/>
    </row>
    <row x14ac:dyDescent="0.25" r="515" customHeight="1" ht="18.75">
      <c r="A515" s="17"/>
      <c r="B515" s="17"/>
      <c r="C515" s="3"/>
      <c r="D515" s="3"/>
      <c r="E515" s="3"/>
      <c r="F515" s="3"/>
      <c r="G515" s="3"/>
      <c r="H515" s="3"/>
      <c r="I515" s="3"/>
      <c r="J515" s="3"/>
    </row>
    <row x14ac:dyDescent="0.25" r="516" customHeight="1" ht="18.75">
      <c r="A516" s="17"/>
      <c r="B516" s="17"/>
      <c r="C516" s="3"/>
      <c r="D516" s="3"/>
      <c r="E516" s="3"/>
      <c r="F516" s="3"/>
      <c r="G516" s="3"/>
      <c r="H516" s="3"/>
      <c r="I516" s="3"/>
      <c r="J516" s="3"/>
    </row>
    <row x14ac:dyDescent="0.25" r="517" customHeight="1" ht="18.75">
      <c r="A517" s="17"/>
      <c r="B517" s="17"/>
      <c r="C517" s="3"/>
      <c r="D517" s="3"/>
      <c r="E517" s="3"/>
      <c r="F517" s="3"/>
      <c r="G517" s="3"/>
      <c r="H517" s="3"/>
      <c r="I517" s="3"/>
      <c r="J517" s="3"/>
    </row>
    <row x14ac:dyDescent="0.25" r="518" customHeight="1" ht="18.75">
      <c r="A518" s="17"/>
      <c r="B518" s="17"/>
      <c r="C518" s="3"/>
      <c r="D518" s="3"/>
      <c r="E518" s="3"/>
      <c r="F518" s="3"/>
      <c r="G518" s="3"/>
      <c r="H518" s="3"/>
      <c r="I518" s="3"/>
      <c r="J518" s="3"/>
    </row>
    <row x14ac:dyDescent="0.25" r="519" customHeight="1" ht="18.75">
      <c r="A519" s="17"/>
      <c r="B519" s="17"/>
      <c r="C519" s="3"/>
      <c r="D519" s="3"/>
      <c r="E519" s="3"/>
      <c r="F519" s="3"/>
      <c r="G519" s="3"/>
      <c r="H519" s="3"/>
      <c r="I519" s="3"/>
      <c r="J519" s="3"/>
    </row>
    <row x14ac:dyDescent="0.25" r="520" customHeight="1" ht="18.75">
      <c r="A520" s="17"/>
      <c r="B520" s="17"/>
      <c r="C520" s="3"/>
      <c r="D520" s="3"/>
      <c r="E520" s="3"/>
      <c r="F520" s="3"/>
      <c r="G520" s="3"/>
      <c r="H520" s="3"/>
      <c r="I520" s="3"/>
      <c r="J520" s="3"/>
    </row>
    <row x14ac:dyDescent="0.25" r="521" customHeight="1" ht="18.75">
      <c r="A521" s="17"/>
      <c r="B521" s="17"/>
      <c r="C521" s="3"/>
      <c r="D521" s="3"/>
      <c r="E521" s="3"/>
      <c r="F521" s="3"/>
      <c r="G521" s="3"/>
      <c r="H521" s="3"/>
      <c r="I521" s="3"/>
      <c r="J521" s="3"/>
    </row>
    <row x14ac:dyDescent="0.25" r="522" customHeight="1" ht="18.75">
      <c r="A522" s="17"/>
      <c r="B522" s="17"/>
      <c r="C522" s="3"/>
      <c r="D522" s="3"/>
      <c r="E522" s="3"/>
      <c r="F522" s="3"/>
      <c r="G522" s="3"/>
      <c r="H522" s="3"/>
      <c r="I522" s="3"/>
      <c r="J522" s="3"/>
    </row>
    <row x14ac:dyDescent="0.25" r="523" customHeight="1" ht="18.75">
      <c r="A523" s="17"/>
      <c r="B523" s="17"/>
      <c r="C523" s="3"/>
      <c r="D523" s="3"/>
      <c r="E523" s="3"/>
      <c r="F523" s="3"/>
      <c r="G523" s="3"/>
      <c r="H523" s="3"/>
      <c r="I523" s="3"/>
      <c r="J523" s="3"/>
    </row>
    <row x14ac:dyDescent="0.25" r="524" customHeight="1" ht="18.75">
      <c r="A524" s="17"/>
      <c r="B524" s="17"/>
      <c r="C524" s="3"/>
      <c r="D524" s="3"/>
      <c r="E524" s="3"/>
      <c r="F524" s="3"/>
      <c r="G524" s="3"/>
      <c r="H524" s="3"/>
      <c r="I524" s="3"/>
      <c r="J524" s="3"/>
    </row>
    <row x14ac:dyDescent="0.25" r="525" customHeight="1" ht="18.75">
      <c r="A525" s="17"/>
      <c r="B525" s="17"/>
      <c r="C525" s="3"/>
      <c r="D525" s="3"/>
      <c r="E525" s="3"/>
      <c r="F525" s="3"/>
      <c r="G525" s="3"/>
      <c r="H525" s="3"/>
      <c r="I525" s="3"/>
      <c r="J525" s="3"/>
    </row>
    <row x14ac:dyDescent="0.25" r="526" customHeight="1" ht="18.75">
      <c r="A526" s="17"/>
      <c r="B526" s="17"/>
      <c r="C526" s="3"/>
      <c r="D526" s="3"/>
      <c r="E526" s="3"/>
      <c r="F526" s="3"/>
      <c r="G526" s="3"/>
      <c r="H526" s="3"/>
      <c r="I526" s="3"/>
      <c r="J526" s="3"/>
    </row>
    <row x14ac:dyDescent="0.25" r="527" customHeight="1" ht="18.75">
      <c r="A527" s="17"/>
      <c r="B527" s="17"/>
      <c r="C527" s="3"/>
      <c r="D527" s="3"/>
      <c r="E527" s="3"/>
      <c r="F527" s="3"/>
      <c r="G527" s="3"/>
      <c r="H527" s="3"/>
      <c r="I527" s="3"/>
      <c r="J527" s="3"/>
    </row>
    <row x14ac:dyDescent="0.25" r="528" customHeight="1" ht="18.75">
      <c r="A528" s="17"/>
      <c r="B528" s="17"/>
      <c r="C528" s="3"/>
      <c r="D528" s="3"/>
      <c r="E528" s="3"/>
      <c r="F528" s="3"/>
      <c r="G528" s="3"/>
      <c r="H528" s="3"/>
      <c r="I528" s="3"/>
      <c r="J528" s="3"/>
    </row>
    <row x14ac:dyDescent="0.25" r="529" customHeight="1" ht="18.75">
      <c r="A529" s="17"/>
      <c r="B529" s="17"/>
      <c r="C529" s="3"/>
      <c r="D529" s="3"/>
      <c r="E529" s="3"/>
      <c r="F529" s="3"/>
      <c r="G529" s="3"/>
      <c r="H529" s="3"/>
      <c r="I529" s="3"/>
      <c r="J529" s="3"/>
    </row>
    <row x14ac:dyDescent="0.25" r="530" customHeight="1" ht="18.75">
      <c r="A530" s="17"/>
      <c r="B530" s="17"/>
      <c r="C530" s="3"/>
      <c r="D530" s="3"/>
      <c r="E530" s="3"/>
      <c r="F530" s="3"/>
      <c r="G530" s="3"/>
      <c r="H530" s="3"/>
      <c r="I530" s="3"/>
      <c r="J530" s="3"/>
    </row>
    <row x14ac:dyDescent="0.25" r="531" customHeight="1" ht="18.75">
      <c r="A531" s="17"/>
      <c r="B531" s="17"/>
      <c r="C531" s="3"/>
      <c r="D531" s="3"/>
      <c r="E531" s="3"/>
      <c r="F531" s="3"/>
      <c r="G531" s="3"/>
      <c r="H531" s="3"/>
      <c r="I531" s="3"/>
      <c r="J531" s="3"/>
    </row>
    <row x14ac:dyDescent="0.25" r="532" customHeight="1" ht="18.75">
      <c r="A532" s="17"/>
      <c r="B532" s="17"/>
      <c r="C532" s="3"/>
      <c r="D532" s="3"/>
      <c r="E532" s="3"/>
      <c r="F532" s="3"/>
      <c r="G532" s="3"/>
      <c r="H532" s="3"/>
      <c r="I532" s="3"/>
      <c r="J532" s="3"/>
    </row>
    <row x14ac:dyDescent="0.25" r="533" customHeight="1" ht="18.75">
      <c r="A533" s="17"/>
      <c r="B533" s="17"/>
      <c r="C533" s="3"/>
      <c r="D533" s="3"/>
      <c r="E533" s="3"/>
      <c r="F533" s="3"/>
      <c r="G533" s="3"/>
      <c r="H533" s="3"/>
      <c r="I533" s="3"/>
      <c r="J533" s="3"/>
    </row>
    <row x14ac:dyDescent="0.25" r="534" customHeight="1" ht="18.75">
      <c r="A534" s="17"/>
      <c r="B534" s="17"/>
      <c r="C534" s="3"/>
      <c r="D534" s="3"/>
      <c r="E534" s="3"/>
      <c r="F534" s="3"/>
      <c r="G534" s="3"/>
      <c r="H534" s="3"/>
      <c r="I534" s="3"/>
      <c r="J534" s="3"/>
    </row>
    <row x14ac:dyDescent="0.25" r="535" customHeight="1" ht="18.75">
      <c r="A535" s="17"/>
      <c r="B535" s="17"/>
      <c r="C535" s="3"/>
      <c r="D535" s="3"/>
      <c r="E535" s="3"/>
      <c r="F535" s="3"/>
      <c r="G535" s="3"/>
      <c r="H535" s="3"/>
      <c r="I535" s="3"/>
      <c r="J535" s="3"/>
    </row>
    <row x14ac:dyDescent="0.25" r="536" customHeight="1" ht="18.75">
      <c r="A536" s="17"/>
      <c r="B536" s="17"/>
      <c r="C536" s="3"/>
      <c r="D536" s="3"/>
      <c r="E536" s="3"/>
      <c r="F536" s="3"/>
      <c r="G536" s="3"/>
      <c r="H536" s="3"/>
      <c r="I536" s="3"/>
      <c r="J536" s="3"/>
    </row>
    <row x14ac:dyDescent="0.25" r="537" customHeight="1" ht="18.75">
      <c r="A537" s="17"/>
      <c r="B537" s="17"/>
      <c r="C537" s="3"/>
      <c r="D537" s="3"/>
      <c r="E537" s="3"/>
      <c r="F537" s="3"/>
      <c r="G537" s="3"/>
      <c r="H537" s="3"/>
      <c r="I537" s="3"/>
      <c r="J537" s="3"/>
    </row>
    <row x14ac:dyDescent="0.25" r="538" customHeight="1" ht="18.75">
      <c r="A538" s="17"/>
      <c r="B538" s="17"/>
      <c r="C538" s="3"/>
      <c r="D538" s="3"/>
      <c r="E538" s="3"/>
      <c r="F538" s="3"/>
      <c r="G538" s="3"/>
      <c r="H538" s="3"/>
      <c r="I538" s="3"/>
      <c r="J538" s="3"/>
    </row>
    <row x14ac:dyDescent="0.25" r="539" customHeight="1" ht="18.75">
      <c r="A539" s="17"/>
      <c r="B539" s="17"/>
      <c r="C539" s="3"/>
      <c r="D539" s="3"/>
      <c r="E539" s="3"/>
      <c r="F539" s="3"/>
      <c r="G539" s="3"/>
      <c r="H539" s="3"/>
      <c r="I539" s="3"/>
      <c r="J539" s="3"/>
    </row>
    <row x14ac:dyDescent="0.25" r="540" customHeight="1" ht="18.75">
      <c r="A540" s="17"/>
      <c r="B540" s="17"/>
      <c r="C540" s="3"/>
      <c r="D540" s="3"/>
      <c r="E540" s="3"/>
      <c r="F540" s="3"/>
      <c r="G540" s="3"/>
      <c r="H540" s="3"/>
      <c r="I540" s="3"/>
      <c r="J540" s="3"/>
    </row>
    <row x14ac:dyDescent="0.25" r="541" customHeight="1" ht="18.75">
      <c r="A541" s="17"/>
      <c r="B541" s="17"/>
      <c r="C541" s="3"/>
      <c r="D541" s="3"/>
      <c r="E541" s="3"/>
      <c r="F541" s="3"/>
      <c r="G541" s="3"/>
      <c r="H541" s="3"/>
      <c r="I541" s="3"/>
      <c r="J541" s="3"/>
    </row>
    <row x14ac:dyDescent="0.25" r="542" customHeight="1" ht="18.75">
      <c r="A542" s="17"/>
      <c r="B542" s="17"/>
      <c r="C542" s="3"/>
      <c r="D542" s="3"/>
      <c r="E542" s="3"/>
      <c r="F542" s="3"/>
      <c r="G542" s="3"/>
      <c r="H542" s="3"/>
      <c r="I542" s="3"/>
      <c r="J542" s="3"/>
    </row>
    <row x14ac:dyDescent="0.25" r="543" customHeight="1" ht="18.75">
      <c r="A543" s="17"/>
      <c r="B543" s="17"/>
      <c r="C543" s="3"/>
      <c r="D543" s="3"/>
      <c r="E543" s="3"/>
      <c r="F543" s="3"/>
      <c r="G543" s="3"/>
      <c r="H543" s="3"/>
      <c r="I543" s="3"/>
      <c r="J543" s="3"/>
    </row>
    <row x14ac:dyDescent="0.25" r="544" customHeight="1" ht="18.75">
      <c r="A544" s="17"/>
      <c r="B544" s="17"/>
      <c r="C544" s="3"/>
      <c r="D544" s="3"/>
      <c r="E544" s="3"/>
      <c r="F544" s="3"/>
      <c r="G544" s="3"/>
      <c r="H544" s="3"/>
      <c r="I544" s="3"/>
      <c r="J544" s="3"/>
    </row>
    <row x14ac:dyDescent="0.25" r="545" customHeight="1" ht="18.75">
      <c r="A545" s="17"/>
      <c r="B545" s="17"/>
      <c r="C545" s="3"/>
      <c r="D545" s="3"/>
      <c r="E545" s="3"/>
      <c r="F545" s="3"/>
      <c r="G545" s="3"/>
      <c r="H545" s="3"/>
      <c r="I545" s="3"/>
      <c r="J545" s="3"/>
    </row>
    <row x14ac:dyDescent="0.25" r="546" customHeight="1" ht="18.75">
      <c r="A546" s="17"/>
      <c r="B546" s="17"/>
      <c r="C546" s="3"/>
      <c r="D546" s="3"/>
      <c r="E546" s="3"/>
      <c r="F546" s="3"/>
      <c r="G546" s="3"/>
      <c r="H546" s="3"/>
      <c r="I546" s="3"/>
      <c r="J546" s="3"/>
    </row>
    <row x14ac:dyDescent="0.25" r="547" customHeight="1" ht="18.75">
      <c r="A547" s="17"/>
      <c r="B547" s="17"/>
      <c r="C547" s="3"/>
      <c r="D547" s="3"/>
      <c r="E547" s="3"/>
      <c r="F547" s="3"/>
      <c r="G547" s="3"/>
      <c r="H547" s="3"/>
      <c r="I547" s="3"/>
      <c r="J547" s="3"/>
    </row>
    <row x14ac:dyDescent="0.25" r="548" customHeight="1" ht="18.75">
      <c r="A548" s="17"/>
      <c r="B548" s="17"/>
      <c r="C548" s="3"/>
      <c r="D548" s="3"/>
      <c r="E548" s="3"/>
      <c r="F548" s="3"/>
      <c r="G548" s="3"/>
      <c r="H548" s="3"/>
      <c r="I548" s="3"/>
      <c r="J548" s="3"/>
    </row>
    <row x14ac:dyDescent="0.25" r="549" customHeight="1" ht="18.75">
      <c r="A549" s="17"/>
      <c r="B549" s="17"/>
      <c r="C549" s="3"/>
      <c r="D549" s="3"/>
      <c r="E549" s="3"/>
      <c r="F549" s="3"/>
      <c r="G549" s="3"/>
      <c r="H549" s="3"/>
      <c r="I549" s="3"/>
      <c r="J549" s="3"/>
    </row>
    <row x14ac:dyDescent="0.25" r="550" customHeight="1" ht="18.75">
      <c r="A550" s="17"/>
      <c r="B550" s="17"/>
      <c r="C550" s="3"/>
      <c r="D550" s="3"/>
      <c r="E550" s="3"/>
      <c r="F550" s="3"/>
      <c r="G550" s="3"/>
      <c r="H550" s="3"/>
      <c r="I550" s="3"/>
      <c r="J550" s="3"/>
    </row>
    <row x14ac:dyDescent="0.25" r="551" customHeight="1" ht="18.75">
      <c r="A551" s="17"/>
      <c r="B551" s="17"/>
      <c r="C551" s="3"/>
      <c r="D551" s="3"/>
      <c r="E551" s="3"/>
      <c r="F551" s="3"/>
      <c r="G551" s="3"/>
      <c r="H551" s="3"/>
      <c r="I551" s="3"/>
      <c r="J551" s="3"/>
    </row>
    <row x14ac:dyDescent="0.25" r="552" customHeight="1" ht="18.75">
      <c r="A552" s="17"/>
      <c r="B552" s="17"/>
      <c r="C552" s="3"/>
      <c r="D552" s="3"/>
      <c r="E552" s="3"/>
      <c r="F552" s="3"/>
      <c r="G552" s="3"/>
      <c r="H552" s="3"/>
      <c r="I552" s="3"/>
      <c r="J552" s="3"/>
    </row>
    <row x14ac:dyDescent="0.25" r="553" customHeight="1" ht="18.75">
      <c r="A553" s="17"/>
      <c r="B553" s="17"/>
      <c r="C553" s="3"/>
      <c r="D553" s="3"/>
      <c r="E553" s="3"/>
      <c r="F553" s="3"/>
      <c r="G553" s="3"/>
      <c r="H553" s="3"/>
      <c r="I553" s="3"/>
      <c r="J553" s="3"/>
    </row>
    <row x14ac:dyDescent="0.25" r="554" customHeight="1" ht="18.75">
      <c r="A554" s="17"/>
      <c r="B554" s="17"/>
      <c r="C554" s="3"/>
      <c r="D554" s="3"/>
      <c r="E554" s="3"/>
      <c r="F554" s="3"/>
      <c r="G554" s="3"/>
      <c r="H554" s="3"/>
      <c r="I554" s="3"/>
      <c r="J554" s="3"/>
    </row>
    <row x14ac:dyDescent="0.25" r="555" customHeight="1" ht="18.75">
      <c r="A555" s="17"/>
      <c r="B555" s="17"/>
      <c r="C555" s="3"/>
      <c r="D555" s="3"/>
      <c r="E555" s="3"/>
      <c r="F555" s="3"/>
      <c r="G555" s="3"/>
      <c r="H555" s="3"/>
      <c r="I555" s="3"/>
      <c r="J555" s="3"/>
    </row>
    <row x14ac:dyDescent="0.25" r="556" customHeight="1" ht="18.75">
      <c r="A556" s="17"/>
      <c r="B556" s="17"/>
      <c r="C556" s="3"/>
      <c r="D556" s="3"/>
      <c r="E556" s="3"/>
      <c r="F556" s="3"/>
      <c r="G556" s="3"/>
      <c r="H556" s="3"/>
      <c r="I556" s="3"/>
      <c r="J556" s="3"/>
    </row>
    <row x14ac:dyDescent="0.25" r="557" customHeight="1" ht="18.75">
      <c r="A557" s="17"/>
      <c r="B557" s="17"/>
      <c r="C557" s="3"/>
      <c r="D557" s="3"/>
      <c r="E557" s="3"/>
      <c r="F557" s="3"/>
      <c r="G557" s="3"/>
      <c r="H557" s="3"/>
      <c r="I557" s="3"/>
      <c r="J557" s="3"/>
    </row>
    <row x14ac:dyDescent="0.25" r="558" customHeight="1" ht="18.75">
      <c r="A558" s="17"/>
      <c r="B558" s="17"/>
      <c r="C558" s="3"/>
      <c r="D558" s="3"/>
      <c r="E558" s="3"/>
      <c r="F558" s="3"/>
      <c r="G558" s="3"/>
      <c r="H558" s="3"/>
      <c r="I558" s="3"/>
      <c r="J558" s="3"/>
    </row>
    <row x14ac:dyDescent="0.25" r="559" customHeight="1" ht="18.75">
      <c r="A559" s="17"/>
      <c r="B559" s="17"/>
      <c r="C559" s="3"/>
      <c r="D559" s="3"/>
      <c r="E559" s="3"/>
      <c r="F559" s="3"/>
      <c r="G559" s="3"/>
      <c r="H559" s="3"/>
      <c r="I559" s="3"/>
      <c r="J559" s="3"/>
    </row>
    <row x14ac:dyDescent="0.25" r="560" customHeight="1" ht="18.75">
      <c r="A560" s="17"/>
      <c r="B560" s="17"/>
      <c r="C560" s="3"/>
      <c r="D560" s="3"/>
      <c r="E560" s="3"/>
      <c r="F560" s="3"/>
      <c r="G560" s="3"/>
      <c r="H560" s="3"/>
      <c r="I560" s="3"/>
      <c r="J560" s="3"/>
    </row>
    <row x14ac:dyDescent="0.25" r="561" customHeight="1" ht="18.75">
      <c r="A561" s="17"/>
      <c r="B561" s="17"/>
      <c r="C561" s="3"/>
      <c r="D561" s="3"/>
      <c r="E561" s="3"/>
      <c r="F561" s="3"/>
      <c r="G561" s="3"/>
      <c r="H561" s="3"/>
      <c r="I561" s="3"/>
      <c r="J561" s="3"/>
    </row>
    <row x14ac:dyDescent="0.25" r="562" customHeight="1" ht="18.75">
      <c r="A562" s="17"/>
      <c r="B562" s="17"/>
      <c r="C562" s="3"/>
      <c r="D562" s="3"/>
      <c r="E562" s="3"/>
      <c r="F562" s="3"/>
      <c r="G562" s="3"/>
      <c r="H562" s="3"/>
      <c r="I562" s="3"/>
      <c r="J562" s="3"/>
    </row>
    <row x14ac:dyDescent="0.25" r="563" customHeight="1" ht="18.75">
      <c r="A563" s="17"/>
      <c r="B563" s="17"/>
      <c r="C563" s="3"/>
      <c r="D563" s="3"/>
      <c r="E563" s="3"/>
      <c r="F563" s="3"/>
      <c r="G563" s="3"/>
      <c r="H563" s="3"/>
      <c r="I563" s="3"/>
      <c r="J563" s="3"/>
    </row>
    <row x14ac:dyDescent="0.25" r="564" customHeight="1" ht="18.75">
      <c r="A564" s="17"/>
      <c r="B564" s="17"/>
      <c r="C564" s="3"/>
      <c r="D564" s="3"/>
      <c r="E564" s="3"/>
      <c r="F564" s="3"/>
      <c r="G564" s="3"/>
      <c r="H564" s="3"/>
      <c r="I564" s="3"/>
      <c r="J564" s="3"/>
    </row>
    <row x14ac:dyDescent="0.25" r="565" customHeight="1" ht="18.75">
      <c r="A565" s="17"/>
      <c r="B565" s="17"/>
      <c r="C565" s="3"/>
      <c r="D565" s="3"/>
      <c r="E565" s="3"/>
      <c r="F565" s="3"/>
      <c r="G565" s="3"/>
      <c r="H565" s="3"/>
      <c r="I565" s="3"/>
      <c r="J565" s="3"/>
    </row>
    <row x14ac:dyDescent="0.25" r="566" customHeight="1" ht="18.75">
      <c r="A566" s="17"/>
      <c r="B566" s="17"/>
      <c r="C566" s="3"/>
      <c r="D566" s="3"/>
      <c r="E566" s="3"/>
      <c r="F566" s="3"/>
      <c r="G566" s="3"/>
      <c r="H566" s="3"/>
      <c r="I566" s="3"/>
      <c r="J566" s="3"/>
    </row>
    <row x14ac:dyDescent="0.25" r="567" customHeight="1" ht="18.75">
      <c r="A567" s="17"/>
      <c r="B567" s="17"/>
      <c r="C567" s="3"/>
      <c r="D567" s="3"/>
      <c r="E567" s="3"/>
      <c r="F567" s="3"/>
      <c r="G567" s="3"/>
      <c r="H567" s="3"/>
      <c r="I567" s="3"/>
      <c r="J567" s="3"/>
    </row>
    <row x14ac:dyDescent="0.25" r="568" customHeight="1" ht="18.75">
      <c r="A568" s="17"/>
      <c r="B568" s="17"/>
      <c r="C568" s="3"/>
      <c r="D568" s="3"/>
      <c r="E568" s="3"/>
      <c r="F568" s="3"/>
      <c r="G568" s="3"/>
      <c r="H568" s="3"/>
      <c r="I568" s="3"/>
      <c r="J568" s="3"/>
    </row>
    <row x14ac:dyDescent="0.25" r="569" customHeight="1" ht="18.75">
      <c r="A569" s="17"/>
      <c r="B569" s="17"/>
      <c r="C569" s="3"/>
      <c r="D569" s="3"/>
      <c r="E569" s="3"/>
      <c r="F569" s="3"/>
      <c r="G569" s="3"/>
      <c r="H569" s="3"/>
      <c r="I569" s="3"/>
      <c r="J569" s="3"/>
    </row>
    <row x14ac:dyDescent="0.25" r="570" customHeight="1" ht="18.75">
      <c r="A570" s="17"/>
      <c r="B570" s="17"/>
      <c r="C570" s="3"/>
      <c r="D570" s="3"/>
      <c r="E570" s="3"/>
      <c r="F570" s="3"/>
      <c r="G570" s="3"/>
      <c r="H570" s="3"/>
      <c r="I570" s="3"/>
      <c r="J570" s="3"/>
    </row>
    <row x14ac:dyDescent="0.25" r="571" customHeight="1" ht="18.75">
      <c r="A571" s="17"/>
      <c r="B571" s="17"/>
      <c r="C571" s="3"/>
      <c r="D571" s="3"/>
      <c r="E571" s="3"/>
      <c r="F571" s="3"/>
      <c r="G571" s="3"/>
      <c r="H571" s="3"/>
      <c r="I571" s="3"/>
      <c r="J571" s="3"/>
    </row>
    <row x14ac:dyDescent="0.25" r="572" customHeight="1" ht="18.75">
      <c r="A572" s="17"/>
      <c r="B572" s="17"/>
      <c r="C572" s="3"/>
      <c r="D572" s="3"/>
      <c r="E572" s="3"/>
      <c r="F572" s="3"/>
      <c r="G572" s="3"/>
      <c r="H572" s="3"/>
      <c r="I572" s="3"/>
      <c r="J572" s="3"/>
    </row>
    <row x14ac:dyDescent="0.25" r="573" customHeight="1" ht="18.75">
      <c r="A573" s="17"/>
      <c r="B573" s="17"/>
      <c r="C573" s="3"/>
      <c r="D573" s="3"/>
      <c r="E573" s="3"/>
      <c r="F573" s="3"/>
      <c r="G573" s="3"/>
      <c r="H573" s="3"/>
      <c r="I573" s="3"/>
      <c r="J573" s="3"/>
    </row>
    <row x14ac:dyDescent="0.25" r="574" customHeight="1" ht="18.75">
      <c r="A574" s="17"/>
      <c r="B574" s="17"/>
      <c r="C574" s="3"/>
      <c r="D574" s="3"/>
      <c r="E574" s="3"/>
      <c r="F574" s="3"/>
      <c r="G574" s="3"/>
      <c r="H574" s="3"/>
      <c r="I574" s="3"/>
      <c r="J574" s="3"/>
    </row>
    <row x14ac:dyDescent="0.25" r="575" customHeight="1" ht="18.75">
      <c r="A575" s="17"/>
      <c r="B575" s="17"/>
      <c r="C575" s="3"/>
      <c r="D575" s="3"/>
      <c r="E575" s="3"/>
      <c r="F575" s="3"/>
      <c r="G575" s="3"/>
      <c r="H575" s="3"/>
      <c r="I575" s="3"/>
      <c r="J575" s="3"/>
    </row>
    <row x14ac:dyDescent="0.25" r="576" customHeight="1" ht="18.75">
      <c r="A576" s="17"/>
      <c r="B576" s="17"/>
      <c r="C576" s="3"/>
      <c r="D576" s="3"/>
      <c r="E576" s="3"/>
      <c r="F576" s="3"/>
      <c r="G576" s="3"/>
      <c r="H576" s="3"/>
      <c r="I576" s="3"/>
      <c r="J576" s="3"/>
    </row>
    <row x14ac:dyDescent="0.25" r="577" customHeight="1" ht="18.75">
      <c r="A577" s="17"/>
      <c r="B577" s="17"/>
      <c r="C577" s="3"/>
      <c r="D577" s="3"/>
      <c r="E577" s="3"/>
      <c r="F577" s="3"/>
      <c r="G577" s="3"/>
      <c r="H577" s="3"/>
      <c r="I577" s="3"/>
      <c r="J577" s="3"/>
    </row>
    <row x14ac:dyDescent="0.25" r="578" customHeight="1" ht="18.75">
      <c r="A578" s="17"/>
      <c r="B578" s="17"/>
      <c r="C578" s="3"/>
      <c r="D578" s="3"/>
      <c r="E578" s="3"/>
      <c r="F578" s="3"/>
      <c r="G578" s="3"/>
      <c r="H578" s="3"/>
      <c r="I578" s="3"/>
      <c r="J578" s="3"/>
    </row>
    <row x14ac:dyDescent="0.25" r="579" customHeight="1" ht="18.75">
      <c r="A579" s="17"/>
      <c r="B579" s="17"/>
      <c r="C579" s="3"/>
      <c r="D579" s="3"/>
      <c r="E579" s="3"/>
      <c r="F579" s="3"/>
      <c r="G579" s="3"/>
      <c r="H579" s="3"/>
      <c r="I579" s="3"/>
      <c r="J579" s="3"/>
    </row>
    <row x14ac:dyDescent="0.25" r="580" customHeight="1" ht="18.75">
      <c r="A580" s="17"/>
      <c r="B580" s="17"/>
      <c r="C580" s="3"/>
      <c r="D580" s="3"/>
      <c r="E580" s="3"/>
      <c r="F580" s="3"/>
      <c r="G580" s="3"/>
      <c r="H580" s="3"/>
      <c r="I580" s="3"/>
      <c r="J580" s="3"/>
    </row>
    <row x14ac:dyDescent="0.25" r="581" customHeight="1" ht="18.75">
      <c r="A581" s="17"/>
      <c r="B581" s="17"/>
      <c r="C581" s="3"/>
      <c r="D581" s="3"/>
      <c r="E581" s="3"/>
      <c r="F581" s="3"/>
      <c r="G581" s="3"/>
      <c r="H581" s="3"/>
      <c r="I581" s="3"/>
      <c r="J581" s="3"/>
    </row>
    <row x14ac:dyDescent="0.25" r="582" customHeight="1" ht="18.75">
      <c r="A582" s="17"/>
      <c r="B582" s="17"/>
      <c r="C582" s="3"/>
      <c r="D582" s="3"/>
      <c r="E582" s="3"/>
      <c r="F582" s="3"/>
      <c r="G582" s="3"/>
      <c r="H582" s="3"/>
      <c r="I582" s="3"/>
      <c r="J582" s="3"/>
    </row>
    <row x14ac:dyDescent="0.25" r="583" customHeight="1" ht="18.75">
      <c r="A583" s="17"/>
      <c r="B583" s="17"/>
      <c r="C583" s="3"/>
      <c r="D583" s="3"/>
      <c r="E583" s="3"/>
      <c r="F583" s="3"/>
      <c r="G583" s="3"/>
      <c r="H583" s="3"/>
      <c r="I583" s="3"/>
      <c r="J583" s="3"/>
    </row>
    <row x14ac:dyDescent="0.25" r="584" customHeight="1" ht="18.75">
      <c r="A584" s="17"/>
      <c r="B584" s="17"/>
      <c r="C584" s="3"/>
      <c r="D584" s="3"/>
      <c r="E584" s="3"/>
      <c r="F584" s="3"/>
      <c r="G584" s="3"/>
      <c r="H584" s="3"/>
      <c r="I584" s="3"/>
      <c r="J584" s="3"/>
    </row>
    <row x14ac:dyDescent="0.25" r="585" customHeight="1" ht="18.75">
      <c r="A585" s="17"/>
      <c r="B585" s="17"/>
      <c r="C585" s="3"/>
      <c r="D585" s="3"/>
      <c r="E585" s="3"/>
      <c r="F585" s="3"/>
      <c r="G585" s="3"/>
      <c r="H585" s="3"/>
      <c r="I585" s="3"/>
      <c r="J585" s="3"/>
    </row>
    <row x14ac:dyDescent="0.25" r="586" customHeight="1" ht="18.75">
      <c r="A586" s="17"/>
      <c r="B586" s="17"/>
      <c r="C586" s="3"/>
      <c r="D586" s="3"/>
      <c r="E586" s="3"/>
      <c r="F586" s="3"/>
      <c r="G586" s="3"/>
      <c r="H586" s="3"/>
      <c r="I586" s="3"/>
      <c r="J586" s="3"/>
    </row>
    <row x14ac:dyDescent="0.25" r="587" customHeight="1" ht="18.75">
      <c r="A587" s="17"/>
      <c r="B587" s="17"/>
      <c r="C587" s="3"/>
      <c r="D587" s="3"/>
      <c r="E587" s="3"/>
      <c r="F587" s="3"/>
      <c r="G587" s="3"/>
      <c r="H587" s="3"/>
      <c r="I587" s="3"/>
      <c r="J587" s="3"/>
    </row>
    <row x14ac:dyDescent="0.25" r="588" customHeight="1" ht="18.75">
      <c r="A588" s="17"/>
      <c r="B588" s="17"/>
      <c r="C588" s="3"/>
      <c r="D588" s="3"/>
      <c r="E588" s="3"/>
      <c r="F588" s="3"/>
      <c r="G588" s="3"/>
      <c r="H588" s="3"/>
      <c r="I588" s="3"/>
      <c r="J588" s="3"/>
    </row>
    <row x14ac:dyDescent="0.25" r="589" customHeight="1" ht="18.75">
      <c r="A589" s="17"/>
      <c r="B589" s="17"/>
      <c r="C589" s="3"/>
      <c r="D589" s="3"/>
      <c r="E589" s="3"/>
      <c r="F589" s="3"/>
      <c r="G589" s="3"/>
      <c r="H589" s="3"/>
      <c r="I589" s="3"/>
      <c r="J589" s="3"/>
    </row>
    <row x14ac:dyDescent="0.25" r="590" customHeight="1" ht="18.75">
      <c r="A590" s="17"/>
      <c r="B590" s="17"/>
      <c r="C590" s="3"/>
      <c r="D590" s="3"/>
      <c r="E590" s="3"/>
      <c r="F590" s="3"/>
      <c r="G590" s="3"/>
      <c r="H590" s="3"/>
      <c r="I590" s="3"/>
      <c r="J590" s="3"/>
    </row>
    <row x14ac:dyDescent="0.25" r="591" customHeight="1" ht="18.75">
      <c r="A591" s="17"/>
      <c r="B591" s="17"/>
      <c r="C591" s="3"/>
      <c r="D591" s="3"/>
      <c r="E591" s="3"/>
      <c r="F591" s="3"/>
      <c r="G591" s="3"/>
      <c r="H591" s="3"/>
      <c r="I591" s="3"/>
      <c r="J591" s="3"/>
    </row>
    <row x14ac:dyDescent="0.25" r="592" customHeight="1" ht="18.75">
      <c r="A592" s="17"/>
      <c r="B592" s="17"/>
      <c r="C592" s="3"/>
      <c r="D592" s="3"/>
      <c r="E592" s="3"/>
      <c r="F592" s="3"/>
      <c r="G592" s="3"/>
      <c r="H592" s="3"/>
      <c r="I592" s="3"/>
      <c r="J592" s="3"/>
    </row>
    <row x14ac:dyDescent="0.25" r="593" customHeight="1" ht="18.75">
      <c r="A593" s="17"/>
      <c r="B593" s="17"/>
      <c r="C593" s="3"/>
      <c r="D593" s="3"/>
      <c r="E593" s="3"/>
      <c r="F593" s="3"/>
      <c r="G593" s="3"/>
      <c r="H593" s="3"/>
      <c r="I593" s="3"/>
      <c r="J593" s="3"/>
    </row>
    <row x14ac:dyDescent="0.25" r="594" customHeight="1" ht="18.75">
      <c r="A594" s="17"/>
      <c r="B594" s="17"/>
      <c r="C594" s="3"/>
      <c r="D594" s="3"/>
      <c r="E594" s="3"/>
      <c r="F594" s="3"/>
      <c r="G594" s="3"/>
      <c r="H594" s="3"/>
      <c r="I594" s="3"/>
      <c r="J594" s="3"/>
    </row>
    <row x14ac:dyDescent="0.25" r="595" customHeight="1" ht="18.75">
      <c r="A595" s="17"/>
      <c r="B595" s="17"/>
      <c r="C595" s="3"/>
      <c r="D595" s="3"/>
      <c r="E595" s="3"/>
      <c r="F595" s="3"/>
      <c r="G595" s="3"/>
      <c r="H595" s="3"/>
      <c r="I595" s="3"/>
      <c r="J595" s="3"/>
    </row>
    <row x14ac:dyDescent="0.25" r="596" customHeight="1" ht="18.75">
      <c r="A596" s="17"/>
      <c r="B596" s="17"/>
      <c r="C596" s="3"/>
      <c r="D596" s="3"/>
      <c r="E596" s="3"/>
      <c r="F596" s="3"/>
      <c r="G596" s="3"/>
      <c r="H596" s="3"/>
      <c r="I596" s="3"/>
      <c r="J596" s="3"/>
    </row>
    <row x14ac:dyDescent="0.25" r="597" customHeight="1" ht="18.75">
      <c r="A597" s="17"/>
      <c r="B597" s="17"/>
      <c r="C597" s="3"/>
      <c r="D597" s="3"/>
      <c r="E597" s="3"/>
      <c r="F597" s="3"/>
      <c r="G597" s="3"/>
      <c r="H597" s="3"/>
      <c r="I597" s="3"/>
      <c r="J597" s="3"/>
    </row>
    <row x14ac:dyDescent="0.25" r="598" customHeight="1" ht="18.75">
      <c r="A598" s="17"/>
      <c r="B598" s="17"/>
      <c r="C598" s="3"/>
      <c r="D598" s="3"/>
      <c r="E598" s="3"/>
      <c r="F598" s="3"/>
      <c r="G598" s="3"/>
      <c r="H598" s="3"/>
      <c r="I598" s="3"/>
      <c r="J598" s="3"/>
    </row>
    <row x14ac:dyDescent="0.25" r="599" customHeight="1" ht="18.75">
      <c r="A599" s="17"/>
      <c r="B599" s="17"/>
      <c r="C599" s="3"/>
      <c r="D599" s="3"/>
      <c r="E599" s="3"/>
      <c r="F599" s="3"/>
      <c r="G599" s="3"/>
      <c r="H599" s="3"/>
      <c r="I599" s="3"/>
      <c r="J599" s="3"/>
    </row>
    <row x14ac:dyDescent="0.25" r="600" customHeight="1" ht="18.75">
      <c r="A600" s="17"/>
      <c r="B600" s="17"/>
      <c r="C600" s="3"/>
      <c r="D600" s="3"/>
      <c r="E600" s="3"/>
      <c r="F600" s="3"/>
      <c r="G600" s="3"/>
      <c r="H600" s="3"/>
      <c r="I600" s="3"/>
      <c r="J600" s="3"/>
    </row>
    <row x14ac:dyDescent="0.25" r="601" customHeight="1" ht="18.75">
      <c r="A601" s="17"/>
      <c r="B601" s="17"/>
      <c r="C601" s="3"/>
      <c r="D601" s="3"/>
      <c r="E601" s="3"/>
      <c r="F601" s="3"/>
      <c r="G601" s="3"/>
      <c r="H601" s="3"/>
      <c r="I601" s="3"/>
      <c r="J601" s="3"/>
    </row>
    <row x14ac:dyDescent="0.25" r="602" customHeight="1" ht="18.75">
      <c r="A602" s="17"/>
      <c r="B602" s="17"/>
      <c r="C602" s="3"/>
      <c r="D602" s="3"/>
      <c r="E602" s="3"/>
      <c r="F602" s="3"/>
      <c r="G602" s="3"/>
      <c r="H602" s="3"/>
      <c r="I602" s="3"/>
      <c r="J602" s="3"/>
    </row>
    <row x14ac:dyDescent="0.25" r="603" customHeight="1" ht="18.75">
      <c r="A603" s="17"/>
      <c r="B603" s="17"/>
      <c r="C603" s="3"/>
      <c r="D603" s="3"/>
      <c r="E603" s="3"/>
      <c r="F603" s="3"/>
      <c r="G603" s="3"/>
      <c r="H603" s="3"/>
      <c r="I603" s="3"/>
      <c r="J603" s="3"/>
    </row>
    <row x14ac:dyDescent="0.25" r="604" customHeight="1" ht="18.75">
      <c r="A604" s="17"/>
      <c r="B604" s="17"/>
      <c r="C604" s="3"/>
      <c r="D604" s="3"/>
      <c r="E604" s="3"/>
      <c r="F604" s="3"/>
      <c r="G604" s="3"/>
      <c r="H604" s="3"/>
      <c r="I604" s="3"/>
      <c r="J604" s="3"/>
    </row>
    <row x14ac:dyDescent="0.25" r="605" customHeight="1" ht="18.75">
      <c r="A605" s="17"/>
      <c r="B605" s="17"/>
      <c r="C605" s="3"/>
      <c r="D605" s="3"/>
      <c r="E605" s="3"/>
      <c r="F605" s="3"/>
      <c r="G605" s="3"/>
      <c r="H605" s="3"/>
      <c r="I605" s="3"/>
      <c r="J605" s="3"/>
    </row>
    <row x14ac:dyDescent="0.25" r="606" customHeight="1" ht="18.75">
      <c r="A606" s="17"/>
      <c r="B606" s="17"/>
      <c r="C606" s="3"/>
      <c r="D606" s="3"/>
      <c r="E606" s="3"/>
      <c r="F606" s="3"/>
      <c r="G606" s="3"/>
      <c r="H606" s="3"/>
      <c r="I606" s="3"/>
      <c r="J606" s="3"/>
    </row>
    <row x14ac:dyDescent="0.25" r="607" customHeight="1" ht="18.75">
      <c r="A607" s="17"/>
      <c r="B607" s="17"/>
      <c r="C607" s="3"/>
      <c r="D607" s="3"/>
      <c r="E607" s="3"/>
      <c r="F607" s="3"/>
      <c r="G607" s="3"/>
      <c r="H607" s="3"/>
      <c r="I607" s="3"/>
      <c r="J607" s="3"/>
    </row>
    <row x14ac:dyDescent="0.25" r="608" customHeight="1" ht="18.75">
      <c r="A608" s="17"/>
      <c r="B608" s="17"/>
      <c r="C608" s="3"/>
      <c r="D608" s="3"/>
      <c r="E608" s="3"/>
      <c r="F608" s="3"/>
      <c r="G608" s="3"/>
      <c r="H608" s="3"/>
      <c r="I608" s="3"/>
      <c r="J608" s="3"/>
    </row>
    <row x14ac:dyDescent="0.25" r="609" customHeight="1" ht="18.75">
      <c r="A609" s="17"/>
      <c r="B609" s="17"/>
      <c r="C609" s="3"/>
      <c r="D609" s="3"/>
      <c r="E609" s="3"/>
      <c r="F609" s="3"/>
      <c r="G609" s="3"/>
      <c r="H609" s="3"/>
      <c r="I609" s="3"/>
      <c r="J609" s="3"/>
    </row>
    <row x14ac:dyDescent="0.25" r="610" customHeight="1" ht="18.75">
      <c r="A610" s="17"/>
      <c r="B610" s="17"/>
      <c r="C610" s="3"/>
      <c r="D610" s="3"/>
      <c r="E610" s="3"/>
      <c r="F610" s="3"/>
      <c r="G610" s="3"/>
      <c r="H610" s="3"/>
      <c r="I610" s="3"/>
      <c r="J610" s="3"/>
    </row>
    <row x14ac:dyDescent="0.25" r="611" customHeight="1" ht="18.75">
      <c r="A611" s="17"/>
      <c r="B611" s="17"/>
      <c r="C611" s="3"/>
      <c r="D611" s="3"/>
      <c r="E611" s="3"/>
      <c r="F611" s="3"/>
      <c r="G611" s="3"/>
      <c r="H611" s="3"/>
      <c r="I611" s="3"/>
      <c r="J611" s="3"/>
    </row>
    <row x14ac:dyDescent="0.25" r="612" customHeight="1" ht="18.75">
      <c r="A612" s="17"/>
      <c r="B612" s="17"/>
      <c r="C612" s="3"/>
      <c r="D612" s="3"/>
      <c r="E612" s="3"/>
      <c r="F612" s="3"/>
      <c r="G612" s="3"/>
      <c r="H612" s="3"/>
      <c r="I612" s="3"/>
      <c r="J612" s="3"/>
    </row>
    <row x14ac:dyDescent="0.25" r="613" customHeight="1" ht="18.75">
      <c r="A613" s="17"/>
      <c r="B613" s="17"/>
      <c r="C613" s="3"/>
      <c r="D613" s="3"/>
      <c r="E613" s="3"/>
      <c r="F613" s="3"/>
      <c r="G613" s="3"/>
      <c r="H613" s="3"/>
      <c r="I613" s="3"/>
      <c r="J613" s="3"/>
    </row>
    <row x14ac:dyDescent="0.25" r="614" customHeight="1" ht="18.75">
      <c r="A614" s="17"/>
      <c r="B614" s="17"/>
      <c r="C614" s="3"/>
      <c r="D614" s="3"/>
      <c r="E614" s="3"/>
      <c r="F614" s="3"/>
      <c r="G614" s="3"/>
      <c r="H614" s="3"/>
      <c r="I614" s="3"/>
      <c r="J614" s="3"/>
    </row>
    <row x14ac:dyDescent="0.25" r="615" customHeight="1" ht="18.75">
      <c r="A615" s="17"/>
      <c r="B615" s="17"/>
      <c r="C615" s="3"/>
      <c r="D615" s="3"/>
      <c r="E615" s="3"/>
      <c r="F615" s="3"/>
      <c r="G615" s="3"/>
      <c r="H615" s="3"/>
      <c r="I615" s="3"/>
      <c r="J615" s="3"/>
    </row>
    <row x14ac:dyDescent="0.25" r="616" customHeight="1" ht="18.75">
      <c r="A616" s="17"/>
      <c r="B616" s="17"/>
      <c r="C616" s="3"/>
      <c r="D616" s="3"/>
      <c r="E616" s="3"/>
      <c r="F616" s="3"/>
      <c r="G616" s="3"/>
      <c r="H616" s="3"/>
      <c r="I616" s="3"/>
      <c r="J616" s="3"/>
    </row>
    <row x14ac:dyDescent="0.25" r="617" customHeight="1" ht="18.75">
      <c r="A617" s="17"/>
      <c r="B617" s="17"/>
      <c r="C617" s="3"/>
      <c r="D617" s="3"/>
      <c r="E617" s="3"/>
      <c r="F617" s="3"/>
      <c r="G617" s="3"/>
      <c r="H617" s="3"/>
      <c r="I617" s="3"/>
      <c r="J617" s="3"/>
    </row>
    <row x14ac:dyDescent="0.25" r="618" customHeight="1" ht="18.75">
      <c r="A618" s="17"/>
      <c r="B618" s="17"/>
      <c r="C618" s="3"/>
      <c r="D618" s="3"/>
      <c r="E618" s="3"/>
      <c r="F618" s="3"/>
      <c r="G618" s="3"/>
      <c r="H618" s="3"/>
      <c r="I618" s="3"/>
      <c r="J618" s="3"/>
    </row>
    <row x14ac:dyDescent="0.25" r="619" customHeight="1" ht="18.75">
      <c r="A619" s="17"/>
      <c r="B619" s="17"/>
      <c r="C619" s="3"/>
      <c r="D619" s="3"/>
      <c r="E619" s="3"/>
      <c r="F619" s="3"/>
      <c r="G619" s="3"/>
      <c r="H619" s="3"/>
      <c r="I619" s="3"/>
      <c r="J619" s="3"/>
    </row>
    <row x14ac:dyDescent="0.25" r="620" customHeight="1" ht="18.75">
      <c r="A620" s="17"/>
      <c r="B620" s="17"/>
      <c r="C620" s="3"/>
      <c r="D620" s="3"/>
      <c r="E620" s="3"/>
      <c r="F620" s="3"/>
      <c r="G620" s="3"/>
      <c r="H620" s="3"/>
      <c r="I620" s="3"/>
      <c r="J620" s="3"/>
    </row>
    <row x14ac:dyDescent="0.25" r="621" customHeight="1" ht="18.75">
      <c r="A621" s="17"/>
      <c r="B621" s="17"/>
      <c r="C621" s="3"/>
      <c r="D621" s="3"/>
      <c r="E621" s="3"/>
      <c r="F621" s="3"/>
      <c r="G621" s="3"/>
      <c r="H621" s="3"/>
      <c r="I621" s="3"/>
      <c r="J621" s="3"/>
    </row>
    <row x14ac:dyDescent="0.25" r="622" customHeight="1" ht="18.75">
      <c r="A622" s="17"/>
      <c r="B622" s="17"/>
      <c r="C622" s="3"/>
      <c r="D622" s="3"/>
      <c r="E622" s="3"/>
      <c r="F622" s="3"/>
      <c r="G622" s="3"/>
      <c r="H622" s="3"/>
      <c r="I622" s="3"/>
      <c r="J622" s="3"/>
    </row>
    <row x14ac:dyDescent="0.25" r="623" customHeight="1" ht="18.75">
      <c r="A623" s="17"/>
      <c r="B623" s="17"/>
      <c r="C623" s="3"/>
      <c r="D623" s="3"/>
      <c r="E623" s="3"/>
      <c r="F623" s="3"/>
      <c r="G623" s="3"/>
      <c r="H623" s="3"/>
      <c r="I623" s="3"/>
      <c r="J623" s="3"/>
    </row>
    <row x14ac:dyDescent="0.25" r="624" customHeight="1" ht="18.75">
      <c r="A624" s="17"/>
      <c r="B624" s="17"/>
      <c r="C624" s="3"/>
      <c r="D624" s="3"/>
      <c r="E624" s="3"/>
      <c r="F624" s="3"/>
      <c r="G624" s="3"/>
      <c r="H624" s="3"/>
      <c r="I624" s="3"/>
      <c r="J624" s="3"/>
    </row>
    <row x14ac:dyDescent="0.25" r="625" customHeight="1" ht="18.75">
      <c r="A625" s="17"/>
      <c r="B625" s="17"/>
      <c r="C625" s="3"/>
      <c r="D625" s="3"/>
      <c r="E625" s="3"/>
      <c r="F625" s="3"/>
      <c r="G625" s="3"/>
      <c r="H625" s="3"/>
      <c r="I625" s="3"/>
      <c r="J625" s="3"/>
    </row>
    <row x14ac:dyDescent="0.25" r="626" customHeight="1" ht="18.75">
      <c r="A626" s="17"/>
      <c r="B626" s="17"/>
      <c r="C626" s="3"/>
      <c r="D626" s="3"/>
      <c r="E626" s="3"/>
      <c r="F626" s="3"/>
      <c r="G626" s="3"/>
      <c r="H626" s="3"/>
      <c r="I626" s="3"/>
      <c r="J626" s="3"/>
    </row>
    <row x14ac:dyDescent="0.25" r="627" customHeight="1" ht="18.75">
      <c r="A627" s="17"/>
      <c r="B627" s="17"/>
      <c r="C627" s="3"/>
      <c r="D627" s="3"/>
      <c r="E627" s="3"/>
      <c r="F627" s="3"/>
      <c r="G627" s="3"/>
      <c r="H627" s="3"/>
      <c r="I627" s="3"/>
      <c r="J627" s="3"/>
    </row>
    <row x14ac:dyDescent="0.25" r="628" customHeight="1" ht="18.75">
      <c r="A628" s="17"/>
      <c r="B628" s="17"/>
      <c r="C628" s="3"/>
      <c r="D628" s="3"/>
      <c r="E628" s="3"/>
      <c r="F628" s="3"/>
      <c r="G628" s="3"/>
      <c r="H628" s="3"/>
      <c r="I628" s="3"/>
      <c r="J628" s="3"/>
    </row>
    <row x14ac:dyDescent="0.25" r="629" customHeight="1" ht="18.75">
      <c r="A629" s="17"/>
      <c r="B629" s="17"/>
      <c r="C629" s="3"/>
      <c r="D629" s="3"/>
      <c r="E629" s="3"/>
      <c r="F629" s="3"/>
      <c r="G629" s="3"/>
      <c r="H629" s="3"/>
      <c r="I629" s="3"/>
      <c r="J629" s="3"/>
    </row>
    <row x14ac:dyDescent="0.25" r="630" customHeight="1" ht="18.75">
      <c r="A630" s="17"/>
      <c r="B630" s="17"/>
      <c r="C630" s="3"/>
      <c r="D630" s="3"/>
      <c r="E630" s="3"/>
      <c r="F630" s="3"/>
      <c r="G630" s="3"/>
      <c r="H630" s="3"/>
      <c r="I630" s="3"/>
      <c r="J630" s="3"/>
    </row>
    <row x14ac:dyDescent="0.25" r="631" customHeight="1" ht="18.75">
      <c r="A631" s="17"/>
      <c r="B631" s="17"/>
      <c r="C631" s="3"/>
      <c r="D631" s="3"/>
      <c r="E631" s="3"/>
      <c r="F631" s="3"/>
      <c r="G631" s="3"/>
      <c r="H631" s="3"/>
      <c r="I631" s="3"/>
      <c r="J631" s="3"/>
    </row>
    <row x14ac:dyDescent="0.25" r="632" customHeight="1" ht="18.75">
      <c r="A632" s="17"/>
      <c r="B632" s="17"/>
      <c r="C632" s="3"/>
      <c r="D632" s="3"/>
      <c r="E632" s="3"/>
      <c r="F632" s="3"/>
      <c r="G632" s="3"/>
      <c r="H632" s="3"/>
      <c r="I632" s="3"/>
      <c r="J632" s="3"/>
    </row>
    <row x14ac:dyDescent="0.25" r="633" customHeight="1" ht="18.75">
      <c r="A633" s="17"/>
      <c r="B633" s="17"/>
      <c r="C633" s="3"/>
      <c r="D633" s="3"/>
      <c r="E633" s="3"/>
      <c r="F633" s="3"/>
      <c r="G633" s="3"/>
      <c r="H633" s="3"/>
      <c r="I633" s="3"/>
      <c r="J633" s="3"/>
    </row>
    <row x14ac:dyDescent="0.25" r="634" customHeight="1" ht="18.75">
      <c r="A634" s="17"/>
      <c r="B634" s="17"/>
      <c r="C634" s="3"/>
      <c r="D634" s="3"/>
      <c r="E634" s="3"/>
      <c r="F634" s="3"/>
      <c r="G634" s="3"/>
      <c r="H634" s="3"/>
      <c r="I634" s="3"/>
      <c r="J634" s="3"/>
    </row>
    <row x14ac:dyDescent="0.25" r="635" customHeight="1" ht="18.75">
      <c r="A635" s="17"/>
      <c r="B635" s="17"/>
      <c r="C635" s="3"/>
      <c r="D635" s="3"/>
      <c r="E635" s="3"/>
      <c r="F635" s="3"/>
      <c r="G635" s="3"/>
      <c r="H635" s="3"/>
      <c r="I635" s="3"/>
      <c r="J635" s="3"/>
    </row>
    <row x14ac:dyDescent="0.25" r="636" customHeight="1" ht="18.75">
      <c r="A636" s="17"/>
      <c r="B636" s="17"/>
      <c r="C636" s="3"/>
      <c r="D636" s="3"/>
      <c r="E636" s="3"/>
      <c r="F636" s="3"/>
      <c r="G636" s="3"/>
      <c r="H636" s="3"/>
      <c r="I636" s="3"/>
      <c r="J636" s="3"/>
    </row>
    <row x14ac:dyDescent="0.25" r="637" customHeight="1" ht="18.75">
      <c r="A637" s="17"/>
      <c r="B637" s="17"/>
      <c r="C637" s="3"/>
      <c r="D637" s="3"/>
      <c r="E637" s="3"/>
      <c r="F637" s="3"/>
      <c r="G637" s="3"/>
      <c r="H637" s="3"/>
      <c r="I637" s="3"/>
      <c r="J637" s="3"/>
    </row>
    <row x14ac:dyDescent="0.25" r="638" customHeight="1" ht="18.75">
      <c r="A638" s="17"/>
      <c r="B638" s="17"/>
      <c r="C638" s="3"/>
      <c r="D638" s="3"/>
      <c r="E638" s="3"/>
      <c r="F638" s="3"/>
      <c r="G638" s="3"/>
      <c r="H638" s="3"/>
      <c r="I638" s="3"/>
      <c r="J638" s="3"/>
    </row>
    <row x14ac:dyDescent="0.25" r="639" customHeight="1" ht="18.75">
      <c r="A639" s="17"/>
      <c r="B639" s="17"/>
      <c r="C639" s="3"/>
      <c r="D639" s="3"/>
      <c r="E639" s="3"/>
      <c r="F639" s="3"/>
      <c r="G639" s="3"/>
      <c r="H639" s="3"/>
      <c r="I639" s="3"/>
      <c r="J639" s="3"/>
    </row>
    <row x14ac:dyDescent="0.25" r="640" customHeight="1" ht="18.75">
      <c r="A640" s="17"/>
      <c r="B640" s="17"/>
      <c r="C640" s="3"/>
      <c r="D640" s="3"/>
      <c r="E640" s="3"/>
      <c r="F640" s="3"/>
      <c r="G640" s="3"/>
      <c r="H640" s="3"/>
      <c r="I640" s="3"/>
      <c r="J640" s="3"/>
    </row>
    <row x14ac:dyDescent="0.25" r="641" customHeight="1" ht="18.75">
      <c r="A641" s="17"/>
      <c r="B641" s="17"/>
      <c r="C641" s="3"/>
      <c r="D641" s="3"/>
      <c r="E641" s="3"/>
      <c r="F641" s="3"/>
      <c r="G641" s="3"/>
      <c r="H641" s="3"/>
      <c r="I641" s="3"/>
      <c r="J641" s="3"/>
    </row>
    <row x14ac:dyDescent="0.25" r="642" customHeight="1" ht="18.75">
      <c r="A642" s="17"/>
      <c r="B642" s="17"/>
      <c r="C642" s="3"/>
      <c r="D642" s="3"/>
      <c r="E642" s="3"/>
      <c r="F642" s="3"/>
      <c r="G642" s="3"/>
      <c r="H642" s="3"/>
      <c r="I642" s="3"/>
      <c r="J642" s="3"/>
    </row>
    <row x14ac:dyDescent="0.25" r="643" customHeight="1" ht="18.75">
      <c r="A643" s="17"/>
      <c r="B643" s="17"/>
      <c r="C643" s="3"/>
      <c r="D643" s="3"/>
      <c r="E643" s="3"/>
      <c r="F643" s="3"/>
      <c r="G643" s="3"/>
      <c r="H643" s="3"/>
      <c r="I643" s="3"/>
      <c r="J643" s="3"/>
    </row>
    <row x14ac:dyDescent="0.25" r="644" customHeight="1" ht="18.75">
      <c r="A644" s="17"/>
      <c r="B644" s="17"/>
      <c r="C644" s="3"/>
      <c r="D644" s="3"/>
      <c r="E644" s="3"/>
      <c r="F644" s="3"/>
      <c r="G644" s="3"/>
      <c r="H644" s="3"/>
      <c r="I644" s="3"/>
      <c r="J644" s="3"/>
    </row>
    <row x14ac:dyDescent="0.25" r="645" customHeight="1" ht="18.75">
      <c r="A645" s="17"/>
      <c r="B645" s="17"/>
      <c r="C645" s="3"/>
      <c r="D645" s="3"/>
      <c r="E645" s="3"/>
      <c r="F645" s="3"/>
      <c r="G645" s="3"/>
      <c r="H645" s="3"/>
      <c r="I645" s="3"/>
      <c r="J645" s="3"/>
    </row>
    <row x14ac:dyDescent="0.25" r="646" customHeight="1" ht="18.75">
      <c r="A646" s="17"/>
      <c r="B646" s="17"/>
      <c r="C646" s="3"/>
      <c r="D646" s="3"/>
      <c r="E646" s="3"/>
      <c r="F646" s="3"/>
      <c r="G646" s="3"/>
      <c r="H646" s="3"/>
      <c r="I646" s="3"/>
      <c r="J646" s="3"/>
    </row>
    <row x14ac:dyDescent="0.25" r="647" customHeight="1" ht="18.75">
      <c r="A647" s="17"/>
      <c r="B647" s="17"/>
      <c r="C647" s="3"/>
      <c r="D647" s="3"/>
      <c r="E647" s="3"/>
      <c r="F647" s="3"/>
      <c r="G647" s="3"/>
      <c r="H647" s="3"/>
      <c r="I647" s="3"/>
      <c r="J647" s="3"/>
    </row>
    <row x14ac:dyDescent="0.25" r="648" customHeight="1" ht="18.75">
      <c r="A648" s="17"/>
      <c r="B648" s="17"/>
      <c r="C648" s="3"/>
      <c r="D648" s="3"/>
      <c r="E648" s="3"/>
      <c r="F648" s="3"/>
      <c r="G648" s="3"/>
      <c r="H648" s="3"/>
      <c r="I648" s="3"/>
      <c r="J648" s="3"/>
    </row>
    <row x14ac:dyDescent="0.25" r="649" customHeight="1" ht="18.75">
      <c r="A649" s="17"/>
      <c r="B649" s="17"/>
      <c r="C649" s="3"/>
      <c r="D649" s="3"/>
      <c r="E649" s="3"/>
      <c r="F649" s="3"/>
      <c r="G649" s="3"/>
      <c r="H649" s="3"/>
      <c r="I649" s="3"/>
      <c r="J649" s="3"/>
    </row>
    <row x14ac:dyDescent="0.25" r="650" customHeight="1" ht="18.75">
      <c r="A650" s="17"/>
      <c r="B650" s="17"/>
      <c r="C650" s="3"/>
      <c r="D650" s="3"/>
      <c r="E650" s="3"/>
      <c r="F650" s="3"/>
      <c r="G650" s="3"/>
      <c r="H650" s="3"/>
      <c r="I650" s="3"/>
      <c r="J650" s="3"/>
    </row>
    <row x14ac:dyDescent="0.25" r="651" customHeight="1" ht="18.75">
      <c r="A651" s="17"/>
      <c r="B651" s="17"/>
      <c r="C651" s="3"/>
      <c r="D651" s="3"/>
      <c r="E651" s="3"/>
      <c r="F651" s="3"/>
      <c r="G651" s="3"/>
      <c r="H651" s="3"/>
      <c r="I651" s="3"/>
      <c r="J651" s="3"/>
    </row>
    <row x14ac:dyDescent="0.25" r="652" customHeight="1" ht="18.75">
      <c r="A652" s="17"/>
      <c r="B652" s="17"/>
      <c r="C652" s="3"/>
      <c r="D652" s="3"/>
      <c r="E652" s="3"/>
      <c r="F652" s="3"/>
      <c r="G652" s="3"/>
      <c r="H652" s="3"/>
      <c r="I652" s="3"/>
      <c r="J652" s="3"/>
    </row>
    <row x14ac:dyDescent="0.25" r="653" customHeight="1" ht="18.75">
      <c r="A653" s="17"/>
      <c r="B653" s="17"/>
      <c r="C653" s="3"/>
      <c r="D653" s="3"/>
      <c r="E653" s="3"/>
      <c r="F653" s="3"/>
      <c r="G653" s="3"/>
      <c r="H653" s="3"/>
      <c r="I653" s="3"/>
      <c r="J653" s="3"/>
    </row>
    <row x14ac:dyDescent="0.25" r="654" customHeight="1" ht="18.75">
      <c r="A654" s="17"/>
      <c r="B654" s="17"/>
      <c r="C654" s="3"/>
      <c r="D654" s="3"/>
      <c r="E654" s="3"/>
      <c r="F654" s="3"/>
      <c r="G654" s="3"/>
      <c r="H654" s="3"/>
      <c r="I654" s="3"/>
      <c r="J654" s="3"/>
    </row>
    <row x14ac:dyDescent="0.25" r="655" customHeight="1" ht="18.75">
      <c r="A655" s="17"/>
      <c r="B655" s="17"/>
      <c r="C655" s="3"/>
      <c r="D655" s="3"/>
      <c r="E655" s="3"/>
      <c r="F655" s="3"/>
      <c r="G655" s="3"/>
      <c r="H655" s="3"/>
      <c r="I655" s="3"/>
      <c r="J655" s="3"/>
    </row>
    <row x14ac:dyDescent="0.25" r="656" customHeight="1" ht="18.75">
      <c r="A656" s="17"/>
      <c r="B656" s="17"/>
      <c r="C656" s="3"/>
      <c r="D656" s="3"/>
      <c r="E656" s="3"/>
      <c r="F656" s="3"/>
      <c r="G656" s="3"/>
      <c r="H656" s="3"/>
      <c r="I656" s="3"/>
      <c r="J656" s="3"/>
    </row>
    <row x14ac:dyDescent="0.25" r="657" customHeight="1" ht="18.75">
      <c r="A657" s="17"/>
      <c r="B657" s="17"/>
      <c r="C657" s="3"/>
      <c r="D657" s="3"/>
      <c r="E657" s="3"/>
      <c r="F657" s="3"/>
      <c r="G657" s="3"/>
      <c r="H657" s="3"/>
      <c r="I657" s="3"/>
      <c r="J657" s="3"/>
    </row>
    <row x14ac:dyDescent="0.25" r="658" customHeight="1" ht="18.75">
      <c r="A658" s="17"/>
      <c r="B658" s="17"/>
      <c r="C658" s="3"/>
      <c r="D658" s="3"/>
      <c r="E658" s="3"/>
      <c r="F658" s="3"/>
      <c r="G658" s="3"/>
      <c r="H658" s="3"/>
      <c r="I658" s="3"/>
      <c r="J658" s="3"/>
    </row>
    <row x14ac:dyDescent="0.25" r="659" customHeight="1" ht="18.75">
      <c r="A659" s="17"/>
      <c r="B659" s="17"/>
      <c r="C659" s="3"/>
      <c r="D659" s="3"/>
      <c r="E659" s="3"/>
      <c r="F659" s="3"/>
      <c r="G659" s="3"/>
      <c r="H659" s="3"/>
      <c r="I659" s="3"/>
      <c r="J659" s="3"/>
    </row>
    <row x14ac:dyDescent="0.25" r="660" customHeight="1" ht="18.75">
      <c r="A660" s="17"/>
      <c r="B660" s="17"/>
      <c r="C660" s="3"/>
      <c r="D660" s="3"/>
      <c r="E660" s="3"/>
      <c r="F660" s="3"/>
      <c r="G660" s="3"/>
      <c r="H660" s="3"/>
      <c r="I660" s="3"/>
      <c r="J660" s="3"/>
    </row>
    <row x14ac:dyDescent="0.25" r="661" customHeight="1" ht="18.75">
      <c r="A661" s="17"/>
      <c r="B661" s="17"/>
      <c r="C661" s="3"/>
      <c r="D661" s="3"/>
      <c r="E661" s="3"/>
      <c r="F661" s="3"/>
      <c r="G661" s="3"/>
      <c r="H661" s="3"/>
      <c r="I661" s="3"/>
      <c r="J661" s="3"/>
    </row>
    <row x14ac:dyDescent="0.25" r="662" customHeight="1" ht="18.75">
      <c r="A662" s="17"/>
      <c r="B662" s="17"/>
      <c r="C662" s="3"/>
      <c r="D662" s="3"/>
      <c r="E662" s="3"/>
      <c r="F662" s="3"/>
      <c r="G662" s="3"/>
      <c r="H662" s="3"/>
      <c r="I662" s="3"/>
      <c r="J662" s="3"/>
    </row>
    <row x14ac:dyDescent="0.25" r="663" customHeight="1" ht="18.75">
      <c r="A663" s="17"/>
      <c r="B663" s="17"/>
      <c r="C663" s="3"/>
      <c r="D663" s="3"/>
      <c r="E663" s="3"/>
      <c r="F663" s="3"/>
      <c r="G663" s="3"/>
      <c r="H663" s="3"/>
      <c r="I663" s="3"/>
      <c r="J663" s="3"/>
    </row>
    <row x14ac:dyDescent="0.25" r="664" customHeight="1" ht="18.75">
      <c r="A664" s="17"/>
      <c r="B664" s="17"/>
      <c r="C664" s="3"/>
      <c r="D664" s="3"/>
      <c r="E664" s="3"/>
      <c r="F664" s="3"/>
      <c r="G664" s="3"/>
      <c r="H664" s="3"/>
      <c r="I664" s="3"/>
      <c r="J664" s="3"/>
    </row>
    <row x14ac:dyDescent="0.25" r="665" customHeight="1" ht="18.75">
      <c r="A665" s="17"/>
      <c r="B665" s="17"/>
      <c r="C665" s="3"/>
      <c r="D665" s="3"/>
      <c r="E665" s="3"/>
      <c r="F665" s="3"/>
      <c r="G665" s="3"/>
      <c r="H665" s="3"/>
      <c r="I665" s="3"/>
      <c r="J665" s="3"/>
    </row>
    <row x14ac:dyDescent="0.25" r="666" customHeight="1" ht="18.75">
      <c r="A666" s="17"/>
      <c r="B666" s="17"/>
      <c r="C666" s="3"/>
      <c r="D666" s="3"/>
      <c r="E666" s="3"/>
      <c r="F666" s="3"/>
      <c r="G666" s="3"/>
      <c r="H666" s="3"/>
      <c r="I666" s="3"/>
      <c r="J666" s="3"/>
    </row>
    <row x14ac:dyDescent="0.25" r="667" customHeight="1" ht="18.75">
      <c r="A667" s="17"/>
      <c r="B667" s="17"/>
      <c r="C667" s="3"/>
      <c r="D667" s="3"/>
      <c r="E667" s="3"/>
      <c r="F667" s="3"/>
      <c r="G667" s="3"/>
      <c r="H667" s="3"/>
      <c r="I667" s="3"/>
      <c r="J667" s="3"/>
    </row>
    <row x14ac:dyDescent="0.25" r="668" customHeight="1" ht="18.75">
      <c r="A668" s="17"/>
      <c r="B668" s="17"/>
      <c r="C668" s="3"/>
      <c r="D668" s="3"/>
      <c r="E668" s="3"/>
      <c r="F668" s="3"/>
      <c r="G668" s="3"/>
      <c r="H668" s="3"/>
      <c r="I668" s="3"/>
      <c r="J668" s="3"/>
    </row>
    <row x14ac:dyDescent="0.25" r="669" customHeight="1" ht="18.75">
      <c r="A669" s="17"/>
      <c r="B669" s="17"/>
      <c r="C669" s="3"/>
      <c r="D669" s="3"/>
      <c r="E669" s="3"/>
      <c r="F669" s="3"/>
      <c r="G669" s="3"/>
      <c r="H669" s="3"/>
      <c r="I669" s="3"/>
      <c r="J669" s="3"/>
    </row>
    <row x14ac:dyDescent="0.25" r="670" customHeight="1" ht="18.75">
      <c r="A670" s="17"/>
      <c r="B670" s="17"/>
      <c r="C670" s="3"/>
      <c r="D670" s="3"/>
      <c r="E670" s="3"/>
      <c r="F670" s="3"/>
      <c r="G670" s="3"/>
      <c r="H670" s="3"/>
      <c r="I670" s="3"/>
      <c r="J670" s="3"/>
    </row>
    <row x14ac:dyDescent="0.25" r="671" customHeight="1" ht="18.75">
      <c r="A671" s="17"/>
      <c r="B671" s="17"/>
      <c r="C671" s="3"/>
      <c r="D671" s="3"/>
      <c r="E671" s="3"/>
      <c r="F671" s="3"/>
      <c r="G671" s="3"/>
      <c r="H671" s="3"/>
      <c r="I671" s="3"/>
      <c r="J671" s="3"/>
    </row>
    <row x14ac:dyDescent="0.25" r="672" customHeight="1" ht="18.75">
      <c r="A672" s="17"/>
      <c r="B672" s="17"/>
      <c r="C672" s="3"/>
      <c r="D672" s="3"/>
      <c r="E672" s="3"/>
      <c r="F672" s="3"/>
      <c r="G672" s="3"/>
      <c r="H672" s="3"/>
      <c r="I672" s="3"/>
      <c r="J672" s="3"/>
    </row>
    <row x14ac:dyDescent="0.25" r="673" customHeight="1" ht="18.75">
      <c r="A673" s="17"/>
      <c r="B673" s="17"/>
      <c r="C673" s="3"/>
      <c r="D673" s="3"/>
      <c r="E673" s="3"/>
      <c r="F673" s="3"/>
      <c r="G673" s="3"/>
      <c r="H673" s="3"/>
      <c r="I673" s="3"/>
      <c r="J673" s="3"/>
    </row>
    <row x14ac:dyDescent="0.25" r="674" customHeight="1" ht="18.75">
      <c r="A674" s="17"/>
      <c r="B674" s="17"/>
      <c r="C674" s="3"/>
      <c r="D674" s="3"/>
      <c r="E674" s="3"/>
      <c r="F674" s="3"/>
      <c r="G674" s="3"/>
      <c r="H674" s="3"/>
      <c r="I674" s="3"/>
      <c r="J674" s="3"/>
    </row>
    <row x14ac:dyDescent="0.25" r="675" customHeight="1" ht="18.75">
      <c r="A675" s="17"/>
      <c r="B675" s="17"/>
      <c r="C675" s="3"/>
      <c r="D675" s="3"/>
      <c r="E675" s="3"/>
      <c r="F675" s="3"/>
      <c r="G675" s="3"/>
      <c r="H675" s="3"/>
      <c r="I675" s="3"/>
      <c r="J675" s="3"/>
    </row>
    <row x14ac:dyDescent="0.25" r="676" customHeight="1" ht="18.75">
      <c r="A676" s="17"/>
      <c r="B676" s="17"/>
      <c r="C676" s="3"/>
      <c r="D676" s="3"/>
      <c r="E676" s="3"/>
      <c r="F676" s="3"/>
      <c r="G676" s="3"/>
      <c r="H676" s="3"/>
      <c r="I676" s="3"/>
      <c r="J676" s="3"/>
    </row>
    <row x14ac:dyDescent="0.25" r="677" customHeight="1" ht="18.75">
      <c r="A677" s="17"/>
      <c r="B677" s="17"/>
      <c r="C677" s="3"/>
      <c r="D677" s="3"/>
      <c r="E677" s="3"/>
      <c r="F677" s="3"/>
      <c r="G677" s="3"/>
      <c r="H677" s="3"/>
      <c r="I677" s="3"/>
      <c r="J677" s="3"/>
    </row>
    <row x14ac:dyDescent="0.25" r="678" customHeight="1" ht="18.75">
      <c r="A678" s="17"/>
      <c r="B678" s="17"/>
      <c r="C678" s="3"/>
      <c r="D678" s="3"/>
      <c r="E678" s="3"/>
      <c r="F678" s="3"/>
      <c r="G678" s="3"/>
      <c r="H678" s="3"/>
      <c r="I678" s="3"/>
      <c r="J678" s="3"/>
    </row>
    <row x14ac:dyDescent="0.25" r="679" customHeight="1" ht="18.75">
      <c r="A679" s="17"/>
      <c r="B679" s="17"/>
      <c r="C679" s="3"/>
      <c r="D679" s="3"/>
      <c r="E679" s="3"/>
      <c r="F679" s="3"/>
      <c r="G679" s="3"/>
      <c r="H679" s="3"/>
      <c r="I679" s="3"/>
      <c r="J679" s="3"/>
    </row>
    <row x14ac:dyDescent="0.25" r="680" customHeight="1" ht="18.75">
      <c r="A680" s="17"/>
      <c r="B680" s="17"/>
      <c r="C680" s="3"/>
      <c r="D680" s="3"/>
      <c r="E680" s="3"/>
      <c r="F680" s="3"/>
      <c r="G680" s="3"/>
      <c r="H680" s="3"/>
      <c r="I680" s="3"/>
      <c r="J680" s="3"/>
    </row>
    <row x14ac:dyDescent="0.25" r="681" customHeight="1" ht="18.75">
      <c r="A681" s="17"/>
      <c r="B681" s="17"/>
      <c r="C681" s="3"/>
      <c r="D681" s="3"/>
      <c r="E681" s="3"/>
      <c r="F681" s="3"/>
      <c r="G681" s="3"/>
      <c r="H681" s="3"/>
      <c r="I681" s="3"/>
      <c r="J681" s="3"/>
    </row>
    <row x14ac:dyDescent="0.25" r="682" customHeight="1" ht="18.75">
      <c r="A682" s="17"/>
      <c r="B682" s="17"/>
      <c r="C682" s="3"/>
      <c r="D682" s="3"/>
      <c r="E682" s="3"/>
      <c r="F682" s="3"/>
      <c r="G682" s="3"/>
      <c r="H682" s="3"/>
      <c r="I682" s="3"/>
      <c r="J682" s="3"/>
    </row>
    <row x14ac:dyDescent="0.25" r="683" customHeight="1" ht="18.75">
      <c r="A683" s="17"/>
      <c r="B683" s="17"/>
      <c r="C683" s="3"/>
      <c r="D683" s="3"/>
      <c r="E683" s="3"/>
      <c r="F683" s="3"/>
      <c r="G683" s="3"/>
      <c r="H683" s="3"/>
      <c r="I683" s="3"/>
      <c r="J683" s="3"/>
    </row>
    <row x14ac:dyDescent="0.25" r="684" customHeight="1" ht="18.75">
      <c r="A684" s="17"/>
      <c r="B684" s="17"/>
      <c r="C684" s="3"/>
      <c r="D684" s="3"/>
      <c r="E684" s="3"/>
      <c r="F684" s="3"/>
      <c r="G684" s="3"/>
      <c r="H684" s="3"/>
      <c r="I684" s="3"/>
      <c r="J684" s="3"/>
    </row>
    <row x14ac:dyDescent="0.25" r="685" customHeight="1" ht="18.75">
      <c r="A685" s="17"/>
      <c r="B685" s="17"/>
      <c r="C685" s="3"/>
      <c r="D685" s="3"/>
      <c r="E685" s="3"/>
      <c r="F685" s="3"/>
      <c r="G685" s="3"/>
      <c r="H685" s="3"/>
      <c r="I685" s="3"/>
      <c r="J685" s="3"/>
    </row>
    <row x14ac:dyDescent="0.25" r="686" customHeight="1" ht="18.75">
      <c r="A686" s="17"/>
      <c r="B686" s="17"/>
      <c r="C686" s="3"/>
      <c r="D686" s="3"/>
      <c r="E686" s="3"/>
      <c r="F686" s="3"/>
      <c r="G686" s="3"/>
      <c r="H686" s="3"/>
      <c r="I686" s="3"/>
      <c r="J686" s="3"/>
    </row>
    <row x14ac:dyDescent="0.25" r="687" customHeight="1" ht="18.75">
      <c r="A687" s="17"/>
      <c r="B687" s="17"/>
      <c r="C687" s="3"/>
      <c r="D687" s="3"/>
      <c r="E687" s="3"/>
      <c r="F687" s="3"/>
      <c r="G687" s="3"/>
      <c r="H687" s="3"/>
      <c r="I687" s="3"/>
      <c r="J687" s="3"/>
    </row>
    <row x14ac:dyDescent="0.25" r="688" customHeight="1" ht="18.75">
      <c r="A688" s="17"/>
      <c r="B688" s="17"/>
      <c r="C688" s="3"/>
      <c r="D688" s="3"/>
      <c r="E688" s="3"/>
      <c r="F688" s="3"/>
      <c r="G688" s="3"/>
      <c r="H688" s="3"/>
      <c r="I688" s="3"/>
      <c r="J688" s="3"/>
    </row>
    <row x14ac:dyDescent="0.25" r="689" customHeight="1" ht="18.75">
      <c r="A689" s="17"/>
      <c r="B689" s="17"/>
      <c r="C689" s="3"/>
      <c r="D689" s="3"/>
      <c r="E689" s="3"/>
      <c r="F689" s="3"/>
      <c r="G689" s="3"/>
      <c r="H689" s="3"/>
      <c r="I689" s="3"/>
      <c r="J689" s="3"/>
    </row>
    <row x14ac:dyDescent="0.25" r="690" customHeight="1" ht="18.75">
      <c r="A690" s="17"/>
      <c r="B690" s="17"/>
      <c r="C690" s="3"/>
      <c r="D690" s="3"/>
      <c r="E690" s="3"/>
      <c r="F690" s="3"/>
      <c r="G690" s="3"/>
      <c r="H690" s="3"/>
      <c r="I690" s="3"/>
      <c r="J690" s="3"/>
    </row>
    <row x14ac:dyDescent="0.25" r="691" customHeight="1" ht="18.75">
      <c r="A691" s="17"/>
      <c r="B691" s="17"/>
      <c r="C691" s="3"/>
      <c r="D691" s="3"/>
      <c r="E691" s="3"/>
      <c r="F691" s="3"/>
      <c r="G691" s="3"/>
      <c r="H691" s="3"/>
      <c r="I691" s="3"/>
      <c r="J691" s="3"/>
    </row>
    <row x14ac:dyDescent="0.25" r="692" customHeight="1" ht="18.75">
      <c r="A692" s="17"/>
      <c r="B692" s="17"/>
      <c r="C692" s="3"/>
      <c r="D692" s="3"/>
      <c r="E692" s="3"/>
      <c r="F692" s="3"/>
      <c r="G692" s="3"/>
      <c r="H692" s="3"/>
      <c r="I692" s="3"/>
      <c r="J692" s="3"/>
    </row>
    <row x14ac:dyDescent="0.25" r="693" customHeight="1" ht="18.75">
      <c r="A693" s="17"/>
      <c r="B693" s="17"/>
      <c r="C693" s="3"/>
      <c r="D693" s="3"/>
      <c r="E693" s="3"/>
      <c r="F693" s="3"/>
      <c r="G693" s="3"/>
      <c r="H693" s="3"/>
      <c r="I693" s="3"/>
      <c r="J693" s="3"/>
    </row>
    <row x14ac:dyDescent="0.25" r="694" customHeight="1" ht="18.75">
      <c r="A694" s="17"/>
      <c r="B694" s="17"/>
      <c r="C694" s="3"/>
      <c r="D694" s="3"/>
      <c r="E694" s="3"/>
      <c r="F694" s="3"/>
      <c r="G694" s="3"/>
      <c r="H694" s="3"/>
      <c r="I694" s="3"/>
      <c r="J694" s="3"/>
    </row>
    <row x14ac:dyDescent="0.25" r="695" customHeight="1" ht="18.75">
      <c r="A695" s="17"/>
      <c r="B695" s="17"/>
      <c r="C695" s="3"/>
      <c r="D695" s="3"/>
      <c r="E695" s="3"/>
      <c r="F695" s="3"/>
      <c r="G695" s="3"/>
      <c r="H695" s="3"/>
      <c r="I695" s="3"/>
      <c r="J695" s="3"/>
    </row>
    <row x14ac:dyDescent="0.25" r="696" customHeight="1" ht="18.75">
      <c r="A696" s="17"/>
      <c r="B696" s="17"/>
      <c r="C696" s="3"/>
      <c r="D696" s="3"/>
      <c r="E696" s="3"/>
      <c r="F696" s="3"/>
      <c r="G696" s="3"/>
      <c r="H696" s="3"/>
      <c r="I696" s="3"/>
      <c r="J696" s="3"/>
    </row>
    <row x14ac:dyDescent="0.25" r="697" customHeight="1" ht="18.75">
      <c r="A697" s="17"/>
      <c r="B697" s="17"/>
      <c r="C697" s="3"/>
      <c r="D697" s="3"/>
      <c r="E697" s="3"/>
      <c r="F697" s="3"/>
      <c r="G697" s="3"/>
      <c r="H697" s="3"/>
      <c r="I697" s="3"/>
      <c r="J697" s="3"/>
    </row>
    <row x14ac:dyDescent="0.25" r="698" customHeight="1" ht="18.75">
      <c r="A698" s="17"/>
      <c r="B698" s="17"/>
      <c r="C698" s="3"/>
      <c r="D698" s="3"/>
      <c r="E698" s="3"/>
      <c r="F698" s="3"/>
      <c r="G698" s="3"/>
      <c r="H698" s="3"/>
      <c r="I698" s="3"/>
      <c r="J698" s="3"/>
    </row>
    <row x14ac:dyDescent="0.25" r="699" customHeight="1" ht="18.75">
      <c r="A699" s="17"/>
      <c r="B699" s="17"/>
      <c r="C699" s="3"/>
      <c r="D699" s="3"/>
      <c r="E699" s="3"/>
      <c r="F699" s="3"/>
      <c r="G699" s="3"/>
      <c r="H699" s="3"/>
      <c r="I699" s="3"/>
      <c r="J699" s="3"/>
    </row>
    <row x14ac:dyDescent="0.25" r="700" customHeight="1" ht="18.75">
      <c r="A700" s="17"/>
      <c r="B700" s="17"/>
      <c r="C700" s="3"/>
      <c r="D700" s="3"/>
      <c r="E700" s="3"/>
      <c r="F700" s="3"/>
      <c r="G700" s="3"/>
      <c r="H700" s="3"/>
      <c r="I700" s="3"/>
      <c r="J700" s="3"/>
    </row>
    <row x14ac:dyDescent="0.25" r="701" customHeight="1" ht="18.75">
      <c r="A701" s="17"/>
      <c r="B701" s="17"/>
      <c r="C701" s="3"/>
      <c r="D701" s="3"/>
      <c r="E701" s="3"/>
      <c r="F701" s="3"/>
      <c r="G701" s="3"/>
      <c r="H701" s="3"/>
      <c r="I701" s="3"/>
      <c r="J701" s="3"/>
    </row>
    <row x14ac:dyDescent="0.25" r="702" customHeight="1" ht="18.75">
      <c r="A702" s="17"/>
      <c r="B702" s="17"/>
      <c r="C702" s="3"/>
      <c r="D702" s="3"/>
      <c r="E702" s="3"/>
      <c r="F702" s="3"/>
      <c r="G702" s="3"/>
      <c r="H702" s="3"/>
      <c r="I702" s="3"/>
      <c r="J702" s="3"/>
    </row>
    <row x14ac:dyDescent="0.25" r="703" customHeight="1" ht="18.75">
      <c r="A703" s="17"/>
      <c r="B703" s="17"/>
      <c r="C703" s="3"/>
      <c r="D703" s="3"/>
      <c r="E703" s="3"/>
      <c r="F703" s="3"/>
      <c r="G703" s="3"/>
      <c r="H703" s="3"/>
      <c r="I703" s="3"/>
      <c r="J703" s="3"/>
    </row>
    <row x14ac:dyDescent="0.25" r="704" customHeight="1" ht="18.75">
      <c r="A704" s="17"/>
      <c r="B704" s="17"/>
      <c r="C704" s="3"/>
      <c r="D704" s="3"/>
      <c r="E704" s="3"/>
      <c r="F704" s="3"/>
      <c r="G704" s="3"/>
      <c r="H704" s="3"/>
      <c r="I704" s="3"/>
      <c r="J704" s="3"/>
    </row>
    <row x14ac:dyDescent="0.25" r="705" customHeight="1" ht="18.75">
      <c r="A705" s="17"/>
      <c r="B705" s="17"/>
      <c r="C705" s="3"/>
      <c r="D705" s="3"/>
      <c r="E705" s="3"/>
      <c r="F705" s="3"/>
      <c r="G705" s="3"/>
      <c r="H705" s="3"/>
      <c r="I705" s="3"/>
      <c r="J705" s="3"/>
    </row>
    <row x14ac:dyDescent="0.25" r="706" customHeight="1" ht="18.75">
      <c r="A706" s="17"/>
      <c r="B706" s="17"/>
      <c r="C706" s="3"/>
      <c r="D706" s="3"/>
      <c r="E706" s="3"/>
      <c r="F706" s="3"/>
      <c r="G706" s="3"/>
      <c r="H706" s="3"/>
      <c r="I706" s="3"/>
      <c r="J706" s="3"/>
    </row>
    <row x14ac:dyDescent="0.25" r="707" customHeight="1" ht="18.75">
      <c r="A707" s="17"/>
      <c r="B707" s="17"/>
      <c r="C707" s="3"/>
      <c r="D707" s="3"/>
      <c r="E707" s="3"/>
      <c r="F707" s="3"/>
      <c r="G707" s="3"/>
      <c r="H707" s="3"/>
      <c r="I707" s="3"/>
      <c r="J707" s="3"/>
    </row>
    <row x14ac:dyDescent="0.25" r="708" customHeight="1" ht="18.75">
      <c r="A708" s="17"/>
      <c r="B708" s="17"/>
      <c r="C708" s="3"/>
      <c r="D708" s="3"/>
      <c r="E708" s="3"/>
      <c r="F708" s="3"/>
      <c r="G708" s="3"/>
      <c r="H708" s="3"/>
      <c r="I708" s="3"/>
      <c r="J708" s="3"/>
    </row>
    <row x14ac:dyDescent="0.25" r="709" customHeight="1" ht="18.75">
      <c r="A709" s="17"/>
      <c r="B709" s="17"/>
      <c r="C709" s="3"/>
      <c r="D709" s="3"/>
      <c r="E709" s="3"/>
      <c r="F709" s="3"/>
      <c r="G709" s="3"/>
      <c r="H709" s="3"/>
      <c r="I709" s="3"/>
      <c r="J709" s="3"/>
    </row>
    <row x14ac:dyDescent="0.25" r="710" customHeight="1" ht="18.75">
      <c r="A710" s="17"/>
      <c r="B710" s="17"/>
      <c r="C710" s="3"/>
      <c r="D710" s="3"/>
      <c r="E710" s="3"/>
      <c r="F710" s="3"/>
      <c r="G710" s="3"/>
      <c r="H710" s="3"/>
      <c r="I710" s="3"/>
      <c r="J710" s="3"/>
    </row>
    <row x14ac:dyDescent="0.25" r="711" customHeight="1" ht="18.75">
      <c r="A711" s="17"/>
      <c r="B711" s="17"/>
      <c r="C711" s="3"/>
      <c r="D711" s="3"/>
      <c r="E711" s="3"/>
      <c r="F711" s="3"/>
      <c r="G711" s="3"/>
      <c r="H711" s="3"/>
      <c r="I711" s="3"/>
      <c r="J711" s="3"/>
    </row>
    <row x14ac:dyDescent="0.25" r="712" customHeight="1" ht="18.75">
      <c r="A712" s="17"/>
      <c r="B712" s="17"/>
      <c r="C712" s="3"/>
      <c r="D712" s="3"/>
      <c r="E712" s="3"/>
      <c r="F712" s="3"/>
      <c r="G712" s="3"/>
      <c r="H712" s="3"/>
      <c r="I712" s="3"/>
      <c r="J712" s="3"/>
    </row>
    <row x14ac:dyDescent="0.25" r="713" customHeight="1" ht="18.75">
      <c r="A713" s="17"/>
      <c r="B713" s="17"/>
      <c r="C713" s="3"/>
      <c r="D713" s="3"/>
      <c r="E713" s="3"/>
      <c r="F713" s="3"/>
      <c r="G713" s="3"/>
      <c r="H713" s="3"/>
      <c r="I713" s="3"/>
      <c r="J713" s="3"/>
    </row>
    <row x14ac:dyDescent="0.25" r="714" customHeight="1" ht="18.75">
      <c r="A714" s="17"/>
      <c r="B714" s="17"/>
      <c r="C714" s="3"/>
      <c r="D714" s="3"/>
      <c r="E714" s="3"/>
      <c r="F714" s="3"/>
      <c r="G714" s="3"/>
      <c r="H714" s="3"/>
      <c r="I714" s="3"/>
      <c r="J714" s="3"/>
    </row>
    <row x14ac:dyDescent="0.25" r="715" customHeight="1" ht="18.75">
      <c r="A715" s="17"/>
      <c r="B715" s="17"/>
      <c r="C715" s="3"/>
      <c r="D715" s="3"/>
      <c r="E715" s="3"/>
      <c r="F715" s="3"/>
      <c r="G715" s="3"/>
      <c r="H715" s="3"/>
      <c r="I715" s="3"/>
      <c r="J715" s="3"/>
    </row>
    <row x14ac:dyDescent="0.25" r="716" customHeight="1" ht="18.75">
      <c r="A716" s="17"/>
      <c r="B716" s="17"/>
      <c r="C716" s="3"/>
      <c r="D716" s="3"/>
      <c r="E716" s="3"/>
      <c r="F716" s="3"/>
      <c r="G716" s="3"/>
      <c r="H716" s="3"/>
      <c r="I716" s="3"/>
      <c r="J716" s="3"/>
    </row>
    <row x14ac:dyDescent="0.25" r="717" customHeight="1" ht="18.75">
      <c r="A717" s="17"/>
      <c r="B717" s="17"/>
      <c r="C717" s="3"/>
      <c r="D717" s="3"/>
      <c r="E717" s="3"/>
      <c r="F717" s="3"/>
      <c r="G717" s="3"/>
      <c r="H717" s="3"/>
      <c r="I717" s="3"/>
      <c r="J717" s="3"/>
    </row>
    <row x14ac:dyDescent="0.25" r="718" customHeight="1" ht="18.75">
      <c r="A718" s="17"/>
      <c r="B718" s="17"/>
      <c r="C718" s="3"/>
      <c r="D718" s="3"/>
      <c r="E718" s="3"/>
      <c r="F718" s="3"/>
      <c r="G718" s="3"/>
      <c r="H718" s="3"/>
      <c r="I718" s="3"/>
      <c r="J718" s="3"/>
    </row>
    <row x14ac:dyDescent="0.25" r="719" customHeight="1" ht="18.75">
      <c r="A719" s="17"/>
      <c r="B719" s="17"/>
      <c r="C719" s="3"/>
      <c r="D719" s="3"/>
      <c r="E719" s="3"/>
      <c r="F719" s="3"/>
      <c r="G719" s="3"/>
      <c r="H719" s="3"/>
      <c r="I719" s="3"/>
      <c r="J719" s="3"/>
    </row>
    <row x14ac:dyDescent="0.25" r="720" customHeight="1" ht="18.75">
      <c r="A720" s="17"/>
      <c r="B720" s="17"/>
      <c r="C720" s="3"/>
      <c r="D720" s="3"/>
      <c r="E720" s="3"/>
      <c r="F720" s="3"/>
      <c r="G720" s="3"/>
      <c r="H720" s="3"/>
      <c r="I720" s="3"/>
      <c r="J720" s="3"/>
    </row>
    <row x14ac:dyDescent="0.25" r="721" customHeight="1" ht="18.75">
      <c r="A721" s="17"/>
      <c r="B721" s="17"/>
      <c r="C721" s="3"/>
      <c r="D721" s="3"/>
      <c r="E721" s="3"/>
      <c r="F721" s="3"/>
      <c r="G721" s="3"/>
      <c r="H721" s="3"/>
      <c r="I721" s="3"/>
      <c r="J721" s="3"/>
    </row>
    <row x14ac:dyDescent="0.25" r="722" customHeight="1" ht="18.75">
      <c r="A722" s="17"/>
      <c r="B722" s="17"/>
      <c r="C722" s="3"/>
      <c r="D722" s="3"/>
      <c r="E722" s="3"/>
      <c r="F722" s="3"/>
      <c r="G722" s="3"/>
      <c r="H722" s="3"/>
      <c r="I722" s="3"/>
      <c r="J722" s="3"/>
    </row>
    <row x14ac:dyDescent="0.25" r="723" customHeight="1" ht="18.75">
      <c r="A723" s="17"/>
      <c r="B723" s="17"/>
      <c r="C723" s="3"/>
      <c r="D723" s="3"/>
      <c r="E723" s="3"/>
      <c r="F723" s="3"/>
      <c r="G723" s="3"/>
      <c r="H723" s="3"/>
      <c r="I723" s="3"/>
      <c r="J723" s="3"/>
    </row>
    <row x14ac:dyDescent="0.25" r="724" customHeight="1" ht="18.75">
      <c r="A724" s="17"/>
      <c r="B724" s="17"/>
      <c r="C724" s="3"/>
      <c r="D724" s="3"/>
      <c r="E724" s="3"/>
      <c r="F724" s="3"/>
      <c r="G724" s="3"/>
      <c r="H724" s="3"/>
      <c r="I724" s="3"/>
      <c r="J724" s="3"/>
    </row>
    <row x14ac:dyDescent="0.25" r="725" customHeight="1" ht="18.75">
      <c r="A725" s="17"/>
      <c r="B725" s="17"/>
      <c r="C725" s="3"/>
      <c r="D725" s="3"/>
      <c r="E725" s="3"/>
      <c r="F725" s="3"/>
      <c r="G725" s="3"/>
      <c r="H725" s="3"/>
      <c r="I725" s="3"/>
      <c r="J725" s="3"/>
    </row>
    <row x14ac:dyDescent="0.25" r="726" customHeight="1" ht="18.75">
      <c r="A726" s="17"/>
      <c r="B726" s="17"/>
      <c r="C726" s="3"/>
      <c r="D726" s="3"/>
      <c r="E726" s="3"/>
      <c r="F726" s="3"/>
      <c r="G726" s="3"/>
      <c r="H726" s="3"/>
      <c r="I726" s="3"/>
      <c r="J726" s="3"/>
    </row>
    <row x14ac:dyDescent="0.25" r="727" customHeight="1" ht="18.75">
      <c r="A727" s="17"/>
      <c r="B727" s="17"/>
      <c r="C727" s="3"/>
      <c r="D727" s="3"/>
      <c r="E727" s="3"/>
      <c r="F727" s="3"/>
      <c r="G727" s="3"/>
      <c r="H727" s="3"/>
      <c r="I727" s="3"/>
      <c r="J727" s="3"/>
    </row>
    <row x14ac:dyDescent="0.25" r="728" customHeight="1" ht="18.75">
      <c r="A728" s="17"/>
      <c r="B728" s="17"/>
      <c r="C728" s="3"/>
      <c r="D728" s="3"/>
      <c r="E728" s="3"/>
      <c r="F728" s="3"/>
      <c r="G728" s="3"/>
      <c r="H728" s="3"/>
      <c r="I728" s="3"/>
      <c r="J728" s="3"/>
    </row>
    <row x14ac:dyDescent="0.25" r="729" customHeight="1" ht="18.75">
      <c r="A729" s="17"/>
      <c r="B729" s="17"/>
      <c r="C729" s="3"/>
      <c r="D729" s="3"/>
      <c r="E729" s="3"/>
      <c r="F729" s="3"/>
      <c r="G729" s="3"/>
      <c r="H729" s="3"/>
      <c r="I729" s="3"/>
      <c r="J729" s="3"/>
    </row>
    <row x14ac:dyDescent="0.25" r="730" customHeight="1" ht="18.75">
      <c r="A730" s="17"/>
      <c r="B730" s="17"/>
      <c r="C730" s="3"/>
      <c r="D730" s="3"/>
      <c r="E730" s="3"/>
      <c r="F730" s="3"/>
      <c r="G730" s="3"/>
      <c r="H730" s="3"/>
      <c r="I730" s="3"/>
      <c r="J730" s="3"/>
    </row>
    <row x14ac:dyDescent="0.25" r="731" customHeight="1" ht="18.75">
      <c r="A731" s="17"/>
      <c r="B731" s="17"/>
      <c r="C731" s="3"/>
      <c r="D731" s="3"/>
      <c r="E731" s="3"/>
      <c r="F731" s="3"/>
      <c r="G731" s="3"/>
      <c r="H731" s="3"/>
      <c r="I731" s="3"/>
      <c r="J731" s="3"/>
    </row>
    <row x14ac:dyDescent="0.25" r="732" customHeight="1" ht="18.75">
      <c r="A732" s="17"/>
      <c r="B732" s="17"/>
      <c r="C732" s="3"/>
      <c r="D732" s="3"/>
      <c r="E732" s="3"/>
      <c r="F732" s="3"/>
      <c r="G732" s="3"/>
      <c r="H732" s="3"/>
      <c r="I732" s="3"/>
      <c r="J732" s="3"/>
    </row>
    <row x14ac:dyDescent="0.25" r="733" customHeight="1" ht="18.75">
      <c r="A733" s="17"/>
      <c r="B733" s="17"/>
      <c r="C733" s="3"/>
      <c r="D733" s="3"/>
      <c r="E733" s="3"/>
      <c r="F733" s="3"/>
      <c r="G733" s="3"/>
      <c r="H733" s="3"/>
      <c r="I733" s="3"/>
      <c r="J733" s="3"/>
    </row>
    <row x14ac:dyDescent="0.25" r="734" customHeight="1" ht="18.75">
      <c r="A734" s="17"/>
      <c r="B734" s="17"/>
      <c r="C734" s="3"/>
      <c r="D734" s="3"/>
      <c r="E734" s="3"/>
      <c r="F734" s="3"/>
      <c r="G734" s="3"/>
      <c r="H734" s="3"/>
      <c r="I734" s="3"/>
      <c r="J734" s="3"/>
    </row>
    <row x14ac:dyDescent="0.25" r="735" customHeight="1" ht="18.75">
      <c r="A735" s="17"/>
      <c r="B735" s="17"/>
      <c r="C735" s="3"/>
      <c r="D735" s="3"/>
      <c r="E735" s="3"/>
      <c r="F735" s="3"/>
      <c r="G735" s="3"/>
      <c r="H735" s="3"/>
      <c r="I735" s="3"/>
      <c r="J735" s="3"/>
    </row>
    <row x14ac:dyDescent="0.25" r="736" customHeight="1" ht="18.75">
      <c r="A736" s="17"/>
      <c r="B736" s="17"/>
      <c r="C736" s="3"/>
      <c r="D736" s="3"/>
      <c r="E736" s="3"/>
      <c r="F736" s="3"/>
      <c r="G736" s="3"/>
      <c r="H736" s="3"/>
      <c r="I736" s="3"/>
      <c r="J736" s="3"/>
    </row>
    <row x14ac:dyDescent="0.25" r="737" customHeight="1" ht="18.75">
      <c r="A737" s="17"/>
      <c r="B737" s="17"/>
      <c r="C737" s="3"/>
      <c r="D737" s="3"/>
      <c r="E737" s="3"/>
      <c r="F737" s="3"/>
      <c r="G737" s="3"/>
      <c r="H737" s="3"/>
      <c r="I737" s="3"/>
      <c r="J737" s="3"/>
    </row>
    <row x14ac:dyDescent="0.25" r="738" customHeight="1" ht="18.75">
      <c r="A738" s="17"/>
      <c r="B738" s="17"/>
      <c r="C738" s="3"/>
      <c r="D738" s="3"/>
      <c r="E738" s="3"/>
      <c r="F738" s="3"/>
      <c r="G738" s="3"/>
      <c r="H738" s="3"/>
      <c r="I738" s="3"/>
      <c r="J738" s="3"/>
    </row>
    <row x14ac:dyDescent="0.25" r="739" customHeight="1" ht="18.75">
      <c r="A739" s="17"/>
      <c r="B739" s="17"/>
      <c r="C739" s="3"/>
      <c r="D739" s="3"/>
      <c r="E739" s="3"/>
      <c r="F739" s="3"/>
      <c r="G739" s="3"/>
      <c r="H739" s="3"/>
      <c r="I739" s="3"/>
      <c r="J739" s="3"/>
    </row>
    <row x14ac:dyDescent="0.25" r="740" customHeight="1" ht="18.75">
      <c r="A740" s="17"/>
      <c r="B740" s="17"/>
      <c r="C740" s="3"/>
      <c r="D740" s="3"/>
      <c r="E740" s="3"/>
      <c r="F740" s="3"/>
      <c r="G740" s="3"/>
      <c r="H740" s="3"/>
      <c r="I740" s="3"/>
      <c r="J740" s="3"/>
    </row>
    <row x14ac:dyDescent="0.25" r="741" customHeight="1" ht="18.75">
      <c r="A741" s="17"/>
      <c r="B741" s="17"/>
      <c r="C741" s="3"/>
      <c r="D741" s="3"/>
      <c r="E741" s="3"/>
      <c r="F741" s="3"/>
      <c r="G741" s="3"/>
      <c r="H741" s="3"/>
      <c r="I741" s="3"/>
      <c r="J741" s="3"/>
    </row>
    <row x14ac:dyDescent="0.25" r="742" customHeight="1" ht="18.75">
      <c r="A742" s="17"/>
      <c r="B742" s="17"/>
      <c r="C742" s="3"/>
      <c r="D742" s="3"/>
      <c r="E742" s="3"/>
      <c r="F742" s="3"/>
      <c r="G742" s="3"/>
      <c r="H742" s="3"/>
      <c r="I742" s="3"/>
      <c r="J742" s="3"/>
    </row>
    <row x14ac:dyDescent="0.25" r="743" customHeight="1" ht="18.75">
      <c r="A743" s="17"/>
      <c r="B743" s="17"/>
      <c r="C743" s="3"/>
      <c r="D743" s="3"/>
      <c r="E743" s="3"/>
      <c r="F743" s="3"/>
      <c r="G743" s="3"/>
      <c r="H743" s="3"/>
      <c r="I743" s="3"/>
      <c r="J743" s="3"/>
    </row>
    <row x14ac:dyDescent="0.25" r="744" customHeight="1" ht="18.75">
      <c r="A744" s="17"/>
      <c r="B744" s="17"/>
      <c r="C744" s="3"/>
      <c r="D744" s="3"/>
      <c r="E744" s="3"/>
      <c r="F744" s="3"/>
      <c r="G744" s="3"/>
      <c r="H744" s="3"/>
      <c r="I744" s="3"/>
      <c r="J744" s="3"/>
    </row>
    <row x14ac:dyDescent="0.25" r="745" customHeight="1" ht="18.75">
      <c r="A745" s="17"/>
      <c r="B745" s="17"/>
      <c r="C745" s="3"/>
      <c r="D745" s="3"/>
      <c r="E745" s="3"/>
      <c r="F745" s="3"/>
      <c r="G745" s="3"/>
      <c r="H745" s="3"/>
      <c r="I745" s="3"/>
      <c r="J745" s="3"/>
    </row>
    <row x14ac:dyDescent="0.25" r="746" customHeight="1" ht="18.75">
      <c r="A746" s="17"/>
      <c r="B746" s="17"/>
      <c r="C746" s="3"/>
      <c r="D746" s="3"/>
      <c r="E746" s="3"/>
      <c r="F746" s="3"/>
      <c r="G746" s="3"/>
      <c r="H746" s="3"/>
      <c r="I746" s="3"/>
      <c r="J746" s="3"/>
    </row>
    <row x14ac:dyDescent="0.25" r="747" customHeight="1" ht="18.75">
      <c r="A747" s="17"/>
      <c r="B747" s="17"/>
      <c r="C747" s="3"/>
      <c r="D747" s="3"/>
      <c r="E747" s="3"/>
      <c r="F747" s="3"/>
      <c r="G747" s="3"/>
      <c r="H747" s="3"/>
      <c r="I747" s="3"/>
      <c r="J747" s="3"/>
    </row>
    <row x14ac:dyDescent="0.25" r="748" customHeight="1" ht="18.75">
      <c r="A748" s="17"/>
      <c r="B748" s="17"/>
      <c r="C748" s="3"/>
      <c r="D748" s="3"/>
      <c r="E748" s="3"/>
      <c r="F748" s="3"/>
      <c r="G748" s="3"/>
      <c r="H748" s="3"/>
      <c r="I748" s="3"/>
      <c r="J748" s="3"/>
    </row>
    <row x14ac:dyDescent="0.25" r="749" customHeight="1" ht="18.75">
      <c r="A749" s="17"/>
      <c r="B749" s="17"/>
      <c r="C749" s="3"/>
      <c r="D749" s="3"/>
      <c r="E749" s="3"/>
      <c r="F749" s="3"/>
      <c r="G749" s="3"/>
      <c r="H749" s="3"/>
      <c r="I749" s="3"/>
      <c r="J749" s="3"/>
    </row>
    <row x14ac:dyDescent="0.25" r="750" customHeight="1" ht="18.75">
      <c r="A750" s="17"/>
      <c r="B750" s="17"/>
      <c r="C750" s="3"/>
      <c r="D750" s="3"/>
      <c r="E750" s="3"/>
      <c r="F750" s="3"/>
      <c r="G750" s="3"/>
      <c r="H750" s="3"/>
      <c r="I750" s="3"/>
      <c r="J750" s="3"/>
    </row>
    <row x14ac:dyDescent="0.25" r="751" customHeight="1" ht="18.75">
      <c r="A751" s="17"/>
      <c r="B751" s="17"/>
      <c r="C751" s="3"/>
      <c r="D751" s="3"/>
      <c r="E751" s="3"/>
      <c r="F751" s="3"/>
      <c r="G751" s="3"/>
      <c r="H751" s="3"/>
      <c r="I751" s="3"/>
      <c r="J751" s="3"/>
    </row>
    <row x14ac:dyDescent="0.25" r="752" customHeight="1" ht="18.75">
      <c r="A752" s="17"/>
      <c r="B752" s="17"/>
      <c r="C752" s="3"/>
      <c r="D752" s="3"/>
      <c r="E752" s="3"/>
      <c r="F752" s="3"/>
      <c r="G752" s="3"/>
      <c r="H752" s="3"/>
      <c r="I752" s="3"/>
      <c r="J752" s="3"/>
    </row>
    <row x14ac:dyDescent="0.25" r="753" customHeight="1" ht="18.75">
      <c r="A753" s="17"/>
      <c r="B753" s="17"/>
      <c r="C753" s="3"/>
      <c r="D753" s="3"/>
      <c r="E753" s="3"/>
      <c r="F753" s="3"/>
      <c r="G753" s="3"/>
      <c r="H753" s="3"/>
      <c r="I753" s="3"/>
      <c r="J753" s="3"/>
    </row>
    <row x14ac:dyDescent="0.25" r="754" customHeight="1" ht="18.75">
      <c r="A754" s="17"/>
      <c r="B754" s="17"/>
      <c r="C754" s="3"/>
      <c r="D754" s="3"/>
      <c r="E754" s="3"/>
      <c r="F754" s="3"/>
      <c r="G754" s="3"/>
      <c r="H754" s="3"/>
      <c r="I754" s="3"/>
      <c r="J754" s="3"/>
    </row>
    <row x14ac:dyDescent="0.25" r="755" customHeight="1" ht="18.75">
      <c r="A755" s="17"/>
      <c r="B755" s="17"/>
      <c r="C755" s="3"/>
      <c r="D755" s="3"/>
      <c r="E755" s="3"/>
      <c r="F755" s="3"/>
      <c r="G755" s="3"/>
      <c r="H755" s="3"/>
      <c r="I755" s="3"/>
      <c r="J755" s="3"/>
    </row>
    <row x14ac:dyDescent="0.25" r="756" customHeight="1" ht="18.75">
      <c r="A756" s="17"/>
      <c r="B756" s="17"/>
      <c r="C756" s="3"/>
      <c r="D756" s="3"/>
      <c r="E756" s="3"/>
      <c r="F756" s="3"/>
      <c r="G756" s="3"/>
      <c r="H756" s="3"/>
      <c r="I756" s="3"/>
      <c r="J756" s="3"/>
    </row>
    <row x14ac:dyDescent="0.25" r="757" customHeight="1" ht="18.75">
      <c r="A757" s="17"/>
      <c r="B757" s="17"/>
      <c r="C757" s="3"/>
      <c r="D757" s="3"/>
      <c r="E757" s="3"/>
      <c r="F757" s="3"/>
      <c r="G757" s="3"/>
      <c r="H757" s="3"/>
      <c r="I757" s="3"/>
      <c r="J757" s="3"/>
    </row>
    <row x14ac:dyDescent="0.25" r="758" customHeight="1" ht="18.75">
      <c r="A758" s="17"/>
      <c r="B758" s="17"/>
      <c r="C758" s="3"/>
      <c r="D758" s="3"/>
      <c r="E758" s="3"/>
      <c r="F758" s="3"/>
      <c r="G758" s="3"/>
      <c r="H758" s="3"/>
      <c r="I758" s="3"/>
      <c r="J758" s="3"/>
    </row>
    <row x14ac:dyDescent="0.25" r="759" customHeight="1" ht="18.75">
      <c r="A759" s="17"/>
      <c r="B759" s="17"/>
      <c r="C759" s="3"/>
      <c r="D759" s="3"/>
      <c r="E759" s="3"/>
      <c r="F759" s="3"/>
      <c r="G759" s="3"/>
      <c r="H759" s="3"/>
      <c r="I759" s="3"/>
      <c r="J759" s="3"/>
    </row>
    <row x14ac:dyDescent="0.25" r="760" customHeight="1" ht="18.75">
      <c r="A760" s="17"/>
      <c r="B760" s="17"/>
      <c r="C760" s="3"/>
      <c r="D760" s="3"/>
      <c r="E760" s="3"/>
      <c r="F760" s="3"/>
      <c r="G760" s="3"/>
      <c r="H760" s="3"/>
      <c r="I760" s="3"/>
      <c r="J760" s="3"/>
    </row>
    <row x14ac:dyDescent="0.25" r="761" customHeight="1" ht="18.75">
      <c r="A761" s="17"/>
      <c r="B761" s="17"/>
      <c r="C761" s="3"/>
      <c r="D761" s="3"/>
      <c r="E761" s="3"/>
      <c r="F761" s="3"/>
      <c r="G761" s="3"/>
      <c r="H761" s="3"/>
      <c r="I761" s="3"/>
      <c r="J761" s="3"/>
    </row>
    <row x14ac:dyDescent="0.25" r="762" customHeight="1" ht="18.75">
      <c r="A762" s="17"/>
      <c r="B762" s="17"/>
      <c r="C762" s="3"/>
      <c r="D762" s="3"/>
      <c r="E762" s="3"/>
      <c r="F762" s="3"/>
      <c r="G762" s="3"/>
      <c r="H762" s="3"/>
      <c r="I762" s="3"/>
      <c r="J762" s="3"/>
    </row>
    <row x14ac:dyDescent="0.25" r="763" customHeight="1" ht="18.75">
      <c r="A763" s="17"/>
      <c r="B763" s="17"/>
      <c r="C763" s="3"/>
      <c r="D763" s="3"/>
      <c r="E763" s="3"/>
      <c r="F763" s="3"/>
      <c r="G763" s="3"/>
      <c r="H763" s="3"/>
      <c r="I763" s="3"/>
      <c r="J763" s="3"/>
    </row>
    <row x14ac:dyDescent="0.25" r="764" customHeight="1" ht="18.75">
      <c r="A764" s="17"/>
      <c r="B764" s="17"/>
      <c r="C764" s="3"/>
      <c r="D764" s="3"/>
      <c r="E764" s="3"/>
      <c r="F764" s="3"/>
      <c r="G764" s="3"/>
      <c r="H764" s="3"/>
      <c r="I764" s="3"/>
      <c r="J764" s="3"/>
    </row>
    <row x14ac:dyDescent="0.25" r="765" customHeight="1" ht="18.75">
      <c r="A765" s="17"/>
      <c r="B765" s="17"/>
      <c r="C765" s="3"/>
      <c r="D765" s="3"/>
      <c r="E765" s="3"/>
      <c r="F765" s="3"/>
      <c r="G765" s="3"/>
      <c r="H765" s="3"/>
      <c r="I765" s="3"/>
      <c r="J765" s="3"/>
    </row>
    <row x14ac:dyDescent="0.25" r="766" customHeight="1" ht="18.75">
      <c r="A766" s="17"/>
      <c r="B766" s="17"/>
      <c r="C766" s="3"/>
      <c r="D766" s="3"/>
      <c r="E766" s="3"/>
      <c r="F766" s="3"/>
      <c r="G766" s="3"/>
      <c r="H766" s="3"/>
      <c r="I766" s="3"/>
      <c r="J766" s="3"/>
    </row>
    <row x14ac:dyDescent="0.25" r="767" customHeight="1" ht="18.75">
      <c r="A767" s="17"/>
      <c r="B767" s="17"/>
      <c r="C767" s="3"/>
      <c r="D767" s="3"/>
      <c r="E767" s="3"/>
      <c r="F767" s="3"/>
      <c r="G767" s="3"/>
      <c r="H767" s="3"/>
      <c r="I767" s="3"/>
      <c r="J767" s="3"/>
    </row>
    <row x14ac:dyDescent="0.25" r="768" customHeight="1" ht="18.75">
      <c r="A768" s="17"/>
      <c r="B768" s="17"/>
      <c r="C768" s="3"/>
      <c r="D768" s="3"/>
      <c r="E768" s="3"/>
      <c r="F768" s="3"/>
      <c r="G768" s="3"/>
      <c r="H768" s="3"/>
      <c r="I768" s="3"/>
      <c r="J768" s="3"/>
    </row>
    <row x14ac:dyDescent="0.25" r="769" customHeight="1" ht="18.75">
      <c r="A769" s="17"/>
      <c r="B769" s="17"/>
      <c r="C769" s="3"/>
      <c r="D769" s="3"/>
      <c r="E769" s="3"/>
      <c r="F769" s="3"/>
      <c r="G769" s="3"/>
      <c r="H769" s="3"/>
      <c r="I769" s="3"/>
      <c r="J769" s="3"/>
    </row>
    <row x14ac:dyDescent="0.25" r="770" customHeight="1" ht="18.75">
      <c r="A770" s="17"/>
      <c r="B770" s="17"/>
      <c r="C770" s="3"/>
      <c r="D770" s="3"/>
      <c r="E770" s="3"/>
      <c r="F770" s="3"/>
      <c r="G770" s="3"/>
      <c r="H770" s="3"/>
      <c r="I770" s="3"/>
      <c r="J770" s="3"/>
    </row>
    <row x14ac:dyDescent="0.25" r="771" customHeight="1" ht="18.75">
      <c r="A771" s="17"/>
      <c r="B771" s="17"/>
      <c r="C771" s="3"/>
      <c r="D771" s="3"/>
      <c r="E771" s="3"/>
      <c r="F771" s="3"/>
      <c r="G771" s="3"/>
      <c r="H771" s="3"/>
      <c r="I771" s="3"/>
      <c r="J771" s="3"/>
    </row>
    <row x14ac:dyDescent="0.25" r="772" customHeight="1" ht="18.75">
      <c r="A772" s="17"/>
      <c r="B772" s="17"/>
      <c r="C772" s="3"/>
      <c r="D772" s="3"/>
      <c r="E772" s="3"/>
      <c r="F772" s="3"/>
      <c r="G772" s="3"/>
      <c r="H772" s="3"/>
      <c r="I772" s="3"/>
      <c r="J772" s="3"/>
    </row>
    <row x14ac:dyDescent="0.25" r="773" customHeight="1" ht="18.75">
      <c r="A773" s="17"/>
      <c r="B773" s="17"/>
      <c r="C773" s="3"/>
      <c r="D773" s="3"/>
      <c r="E773" s="3"/>
      <c r="F773" s="3"/>
      <c r="G773" s="3"/>
      <c r="H773" s="3"/>
      <c r="I773" s="3"/>
      <c r="J773" s="3"/>
    </row>
    <row x14ac:dyDescent="0.25" r="774" customHeight="1" ht="18.75">
      <c r="A774" s="17"/>
      <c r="B774" s="17"/>
      <c r="C774" s="3"/>
      <c r="D774" s="3"/>
      <c r="E774" s="3"/>
      <c r="F774" s="3"/>
      <c r="G774" s="3"/>
      <c r="H774" s="3"/>
      <c r="I774" s="3"/>
      <c r="J774" s="3"/>
    </row>
    <row x14ac:dyDescent="0.25" r="775" customHeight="1" ht="18.75">
      <c r="A775" s="17"/>
      <c r="B775" s="17"/>
      <c r="C775" s="3"/>
      <c r="D775" s="3"/>
      <c r="E775" s="3"/>
      <c r="F775" s="3"/>
      <c r="G775" s="3"/>
      <c r="H775" s="3"/>
      <c r="I775" s="3"/>
      <c r="J775" s="3"/>
    </row>
    <row x14ac:dyDescent="0.25" r="776" customHeight="1" ht="18.75">
      <c r="A776" s="17"/>
      <c r="B776" s="17"/>
      <c r="C776" s="3"/>
      <c r="D776" s="3"/>
      <c r="E776" s="3"/>
      <c r="F776" s="3"/>
      <c r="G776" s="3"/>
      <c r="H776" s="3"/>
      <c r="I776" s="3"/>
      <c r="J776" s="3"/>
    </row>
    <row x14ac:dyDescent="0.25" r="777" customHeight="1" ht="18.75">
      <c r="A777" s="17"/>
      <c r="B777" s="17"/>
      <c r="C777" s="3"/>
      <c r="D777" s="3"/>
      <c r="E777" s="3"/>
      <c r="F777" s="3"/>
      <c r="G777" s="3"/>
      <c r="H777" s="3"/>
      <c r="I777" s="3"/>
      <c r="J777" s="3"/>
    </row>
    <row x14ac:dyDescent="0.25" r="778" customHeight="1" ht="18.75">
      <c r="A778" s="17"/>
      <c r="B778" s="17"/>
      <c r="C778" s="3"/>
      <c r="D778" s="3"/>
      <c r="E778" s="3"/>
      <c r="F778" s="3"/>
      <c r="G778" s="3"/>
      <c r="H778" s="3"/>
      <c r="I778" s="3"/>
      <c r="J778" s="3"/>
    </row>
    <row x14ac:dyDescent="0.25" r="779" customHeight="1" ht="18.75">
      <c r="A779" s="17"/>
      <c r="B779" s="17"/>
      <c r="C779" s="3"/>
      <c r="D779" s="3"/>
      <c r="E779" s="3"/>
      <c r="F779" s="3"/>
      <c r="G779" s="3"/>
      <c r="H779" s="3"/>
      <c r="I779" s="3"/>
      <c r="J779" s="3"/>
    </row>
    <row x14ac:dyDescent="0.25" r="780" customHeight="1" ht="18.75">
      <c r="A780" s="17"/>
      <c r="B780" s="17"/>
      <c r="C780" s="3"/>
      <c r="D780" s="3"/>
      <c r="E780" s="3"/>
      <c r="F780" s="3"/>
      <c r="G780" s="3"/>
      <c r="H780" s="3"/>
      <c r="I780" s="3"/>
      <c r="J780" s="3"/>
    </row>
    <row x14ac:dyDescent="0.25" r="781" customHeight="1" ht="18.75">
      <c r="A781" s="17"/>
      <c r="B781" s="17"/>
      <c r="C781" s="3"/>
      <c r="D781" s="3"/>
      <c r="E781" s="3"/>
      <c r="F781" s="3"/>
      <c r="G781" s="3"/>
      <c r="H781" s="3"/>
      <c r="I781" s="3"/>
      <c r="J781" s="3"/>
    </row>
    <row x14ac:dyDescent="0.25" r="782" customHeight="1" ht="18.75">
      <c r="A782" s="17"/>
      <c r="B782" s="17"/>
      <c r="C782" s="3"/>
      <c r="D782" s="3"/>
      <c r="E782" s="3"/>
      <c r="F782" s="3"/>
      <c r="G782" s="3"/>
      <c r="H782" s="3"/>
      <c r="I782" s="3"/>
      <c r="J782" s="3"/>
    </row>
    <row x14ac:dyDescent="0.25" r="783" customHeight="1" ht="18.75">
      <c r="A783" s="17"/>
      <c r="B783" s="17"/>
      <c r="C783" s="3"/>
      <c r="D783" s="3"/>
      <c r="E783" s="3"/>
      <c r="F783" s="3"/>
      <c r="G783" s="3"/>
      <c r="H783" s="3"/>
      <c r="I783" s="3"/>
      <c r="J783" s="3"/>
    </row>
    <row x14ac:dyDescent="0.25" r="784" customHeight="1" ht="18.75">
      <c r="A784" s="17"/>
      <c r="B784" s="17"/>
      <c r="C784" s="3"/>
      <c r="D784" s="3"/>
      <c r="E784" s="3"/>
      <c r="F784" s="3"/>
      <c r="G784" s="3"/>
      <c r="H784" s="3"/>
      <c r="I784" s="3"/>
      <c r="J784" s="3"/>
    </row>
    <row x14ac:dyDescent="0.25" r="785" customHeight="1" ht="18.75">
      <c r="A785" s="17"/>
      <c r="B785" s="17"/>
      <c r="C785" s="3"/>
      <c r="D785" s="3"/>
      <c r="E785" s="3"/>
      <c r="F785" s="3"/>
      <c r="G785" s="3"/>
      <c r="H785" s="3"/>
      <c r="I785" s="3"/>
      <c r="J785" s="3"/>
    </row>
    <row x14ac:dyDescent="0.25" r="786" customHeight="1" ht="18.75">
      <c r="A786" s="17"/>
      <c r="B786" s="17"/>
      <c r="C786" s="3"/>
      <c r="D786" s="3"/>
      <c r="E786" s="3"/>
      <c r="F786" s="3"/>
      <c r="G786" s="3"/>
      <c r="H786" s="3"/>
      <c r="I786" s="3"/>
      <c r="J786" s="3"/>
    </row>
    <row x14ac:dyDescent="0.25" r="787" customHeight="1" ht="18.75">
      <c r="A787" s="17"/>
      <c r="B787" s="17"/>
      <c r="C787" s="3"/>
      <c r="D787" s="3"/>
      <c r="E787" s="3"/>
      <c r="F787" s="3"/>
      <c r="G787" s="3"/>
      <c r="H787" s="3"/>
      <c r="I787" s="3"/>
      <c r="J787" s="3"/>
    </row>
    <row x14ac:dyDescent="0.25" r="788" customHeight="1" ht="18.75">
      <c r="A788" s="17"/>
      <c r="B788" s="17"/>
      <c r="C788" s="3"/>
      <c r="D788" s="3"/>
      <c r="E788" s="3"/>
      <c r="F788" s="3"/>
      <c r="G788" s="3"/>
      <c r="H788" s="3"/>
      <c r="I788" s="3"/>
      <c r="J788" s="3"/>
    </row>
    <row x14ac:dyDescent="0.25" r="789" customHeight="1" ht="18.75">
      <c r="A789" s="17"/>
      <c r="B789" s="17"/>
      <c r="C789" s="3"/>
      <c r="D789" s="3"/>
      <c r="E789" s="3"/>
      <c r="F789" s="3"/>
      <c r="G789" s="3"/>
      <c r="H789" s="3"/>
      <c r="I789" s="3"/>
      <c r="J789" s="3"/>
    </row>
    <row x14ac:dyDescent="0.25" r="790" customHeight="1" ht="18.75">
      <c r="A790" s="17"/>
      <c r="B790" s="17"/>
      <c r="C790" s="3"/>
      <c r="D790" s="3"/>
      <c r="E790" s="3"/>
      <c r="F790" s="3"/>
      <c r="G790" s="3"/>
      <c r="H790" s="3"/>
      <c r="I790" s="3"/>
      <c r="J790" s="3"/>
    </row>
    <row x14ac:dyDescent="0.25" r="791" customHeight="1" ht="18.75">
      <c r="A791" s="17"/>
      <c r="B791" s="17"/>
      <c r="C791" s="3"/>
      <c r="D791" s="3"/>
      <c r="E791" s="3"/>
      <c r="F791" s="3"/>
      <c r="G791" s="3"/>
      <c r="H791" s="3"/>
      <c r="I791" s="3"/>
      <c r="J791" s="3"/>
    </row>
    <row x14ac:dyDescent="0.25" r="792" customHeight="1" ht="18.75">
      <c r="A792" s="17"/>
      <c r="B792" s="17"/>
      <c r="C792" s="3"/>
      <c r="D792" s="3"/>
      <c r="E792" s="3"/>
      <c r="F792" s="3"/>
      <c r="G792" s="3"/>
      <c r="H792" s="3"/>
      <c r="I792" s="3"/>
      <c r="J792" s="3"/>
    </row>
    <row x14ac:dyDescent="0.25" r="793" customHeight="1" ht="18.75">
      <c r="A793" s="17"/>
      <c r="B793" s="17"/>
      <c r="C793" s="3"/>
      <c r="D793" s="3"/>
      <c r="E793" s="3"/>
      <c r="F793" s="3"/>
      <c r="G793" s="3"/>
      <c r="H793" s="3"/>
      <c r="I793" s="3"/>
      <c r="J793" s="3"/>
    </row>
    <row x14ac:dyDescent="0.25" r="794" customHeight="1" ht="18.75">
      <c r="A794" s="17"/>
      <c r="B794" s="17"/>
      <c r="C794" s="3"/>
      <c r="D794" s="3"/>
      <c r="E794" s="3"/>
      <c r="F794" s="3"/>
      <c r="G794" s="3"/>
      <c r="H794" s="3"/>
      <c r="I794" s="3"/>
      <c r="J794" s="3"/>
    </row>
    <row x14ac:dyDescent="0.25" r="795" customHeight="1" ht="18.75">
      <c r="A795" s="17"/>
      <c r="B795" s="17"/>
      <c r="C795" s="3"/>
      <c r="D795" s="3"/>
      <c r="E795" s="3"/>
      <c r="F795" s="3"/>
      <c r="G795" s="3"/>
      <c r="H795" s="3"/>
      <c r="I795" s="3"/>
      <c r="J795" s="3"/>
    </row>
    <row x14ac:dyDescent="0.25" r="796" customHeight="1" ht="18.75">
      <c r="A796" s="17"/>
      <c r="B796" s="17"/>
      <c r="C796" s="3"/>
      <c r="D796" s="3"/>
      <c r="E796" s="3"/>
      <c r="F796" s="3"/>
      <c r="G796" s="3"/>
      <c r="H796" s="3"/>
      <c r="I796" s="3"/>
      <c r="J796" s="3"/>
    </row>
    <row x14ac:dyDescent="0.25" r="797" customHeight="1" ht="18.75">
      <c r="A797" s="17"/>
      <c r="B797" s="17"/>
      <c r="C797" s="3"/>
      <c r="D797" s="3"/>
      <c r="E797" s="3"/>
      <c r="F797" s="3"/>
      <c r="G797" s="3"/>
      <c r="H797" s="3"/>
      <c r="I797" s="3"/>
      <c r="J797" s="3"/>
    </row>
    <row x14ac:dyDescent="0.25" r="798" customHeight="1" ht="18.75">
      <c r="A798" s="17"/>
      <c r="B798" s="17"/>
      <c r="C798" s="3"/>
      <c r="D798" s="3"/>
      <c r="E798" s="3"/>
      <c r="F798" s="3"/>
      <c r="G798" s="3"/>
      <c r="H798" s="3"/>
      <c r="I798" s="3"/>
      <c r="J798" s="3"/>
    </row>
    <row x14ac:dyDescent="0.25" r="799" customHeight="1" ht="18.75">
      <c r="A799" s="17"/>
      <c r="B799" s="17"/>
      <c r="C799" s="3"/>
      <c r="D799" s="3"/>
      <c r="E799" s="3"/>
      <c r="F799" s="3"/>
      <c r="G799" s="3"/>
      <c r="H799" s="3"/>
      <c r="I799" s="3"/>
      <c r="J799" s="3"/>
    </row>
    <row x14ac:dyDescent="0.25" r="800" customHeight="1" ht="18.75">
      <c r="A800" s="17"/>
      <c r="B800" s="17"/>
      <c r="C800" s="3"/>
      <c r="D800" s="3"/>
      <c r="E800" s="3"/>
      <c r="F800" s="3"/>
      <c r="G800" s="3"/>
      <c r="H800" s="3"/>
      <c r="I800" s="3"/>
      <c r="J800" s="3"/>
    </row>
    <row x14ac:dyDescent="0.25" r="801" customHeight="1" ht="18.75">
      <c r="A801" s="17"/>
      <c r="B801" s="17"/>
      <c r="C801" s="3"/>
      <c r="D801" s="3"/>
      <c r="E801" s="3"/>
      <c r="F801" s="3"/>
      <c r="G801" s="3"/>
      <c r="H801" s="3"/>
      <c r="I801" s="3"/>
      <c r="J801" s="3"/>
    </row>
    <row x14ac:dyDescent="0.25" r="802" customHeight="1" ht="18.75">
      <c r="A802" s="17"/>
      <c r="B802" s="17"/>
      <c r="C802" s="3"/>
      <c r="D802" s="3"/>
      <c r="E802" s="3"/>
      <c r="F802" s="3"/>
      <c r="G802" s="3"/>
      <c r="H802" s="3"/>
      <c r="I802" s="3"/>
      <c r="J802" s="3"/>
    </row>
    <row x14ac:dyDescent="0.25" r="803" customHeight="1" ht="18.75">
      <c r="A803" s="17"/>
      <c r="B803" s="17"/>
      <c r="C803" s="3"/>
      <c r="D803" s="3"/>
      <c r="E803" s="3"/>
      <c r="F803" s="3"/>
      <c r="G803" s="3"/>
      <c r="H803" s="3"/>
      <c r="I803" s="3"/>
      <c r="J803" s="3"/>
    </row>
    <row x14ac:dyDescent="0.25" r="804" customHeight="1" ht="18.75">
      <c r="A804" s="17"/>
      <c r="B804" s="17"/>
      <c r="C804" s="3"/>
      <c r="D804" s="3"/>
      <c r="E804" s="3"/>
      <c r="F804" s="3"/>
      <c r="G804" s="3"/>
      <c r="H804" s="3"/>
      <c r="I804" s="3"/>
      <c r="J804" s="3"/>
    </row>
    <row x14ac:dyDescent="0.25" r="805" customHeight="1" ht="18.75">
      <c r="A805" s="17"/>
      <c r="B805" s="17"/>
      <c r="C805" s="3"/>
      <c r="D805" s="3"/>
      <c r="E805" s="3"/>
      <c r="F805" s="3"/>
      <c r="G805" s="3"/>
      <c r="H805" s="3"/>
      <c r="I805" s="3"/>
      <c r="J805" s="3"/>
    </row>
    <row x14ac:dyDescent="0.25" r="806" customHeight="1" ht="18.75">
      <c r="A806" s="17"/>
      <c r="B806" s="17"/>
      <c r="C806" s="3"/>
      <c r="D806" s="3"/>
      <c r="E806" s="3"/>
      <c r="F806" s="3"/>
      <c r="G806" s="3"/>
      <c r="H806" s="3"/>
      <c r="I806" s="3"/>
      <c r="J806" s="3"/>
    </row>
    <row x14ac:dyDescent="0.25" r="807" customHeight="1" ht="18.75">
      <c r="A807" s="17"/>
      <c r="B807" s="17"/>
      <c r="C807" s="3"/>
      <c r="D807" s="3"/>
      <c r="E807" s="3"/>
      <c r="F807" s="3"/>
      <c r="G807" s="3"/>
      <c r="H807" s="3"/>
      <c r="I807" s="3"/>
      <c r="J807" s="3"/>
    </row>
    <row x14ac:dyDescent="0.25" r="808" customHeight="1" ht="18.75">
      <c r="A808" s="17"/>
      <c r="B808" s="17"/>
      <c r="C808" s="3"/>
      <c r="D808" s="3"/>
      <c r="E808" s="3"/>
      <c r="F808" s="3"/>
      <c r="G808" s="3"/>
      <c r="H808" s="3"/>
      <c r="I808" s="3"/>
      <c r="J808" s="3"/>
    </row>
    <row x14ac:dyDescent="0.25" r="809" customHeight="1" ht="18.75">
      <c r="A809" s="17"/>
      <c r="B809" s="17"/>
      <c r="C809" s="3"/>
      <c r="D809" s="3"/>
      <c r="E809" s="3"/>
      <c r="F809" s="3"/>
      <c r="G809" s="3"/>
      <c r="H809" s="3"/>
      <c r="I809" s="3"/>
      <c r="J809" s="3"/>
    </row>
    <row x14ac:dyDescent="0.25" r="810" customHeight="1" ht="18.75">
      <c r="A810" s="17"/>
      <c r="B810" s="17"/>
      <c r="C810" s="3"/>
      <c r="D810" s="3"/>
      <c r="E810" s="3"/>
      <c r="F810" s="3"/>
      <c r="G810" s="3"/>
      <c r="H810" s="3"/>
      <c r="I810" s="3"/>
      <c r="J810" s="3"/>
    </row>
    <row x14ac:dyDescent="0.25" r="811" customHeight="1" ht="18.75">
      <c r="A811" s="17"/>
      <c r="B811" s="17"/>
      <c r="C811" s="3"/>
      <c r="D811" s="3"/>
      <c r="E811" s="3"/>
      <c r="F811" s="3"/>
      <c r="G811" s="3"/>
      <c r="H811" s="3"/>
      <c r="I811" s="3"/>
      <c r="J811" s="3"/>
    </row>
    <row x14ac:dyDescent="0.25" r="812" customHeight="1" ht="18.75">
      <c r="A812" s="17"/>
      <c r="B812" s="17"/>
      <c r="C812" s="3"/>
      <c r="D812" s="3"/>
      <c r="E812" s="3"/>
      <c r="F812" s="3"/>
      <c r="G812" s="3"/>
      <c r="H812" s="3"/>
      <c r="I812" s="3"/>
      <c r="J812" s="3"/>
    </row>
    <row x14ac:dyDescent="0.25" r="813" customHeight="1" ht="18.75">
      <c r="A813" s="17"/>
      <c r="B813" s="17"/>
      <c r="C813" s="3"/>
      <c r="D813" s="3"/>
      <c r="E813" s="3"/>
      <c r="F813" s="3"/>
      <c r="G813" s="3"/>
      <c r="H813" s="3"/>
      <c r="I813" s="3"/>
      <c r="J813" s="3"/>
    </row>
    <row x14ac:dyDescent="0.25" r="814" customHeight="1" ht="18.75">
      <c r="A814" s="17"/>
      <c r="B814" s="17"/>
      <c r="C814" s="3"/>
      <c r="D814" s="3"/>
      <c r="E814" s="3"/>
      <c r="F814" s="3"/>
      <c r="G814" s="3"/>
      <c r="H814" s="3"/>
      <c r="I814" s="3"/>
      <c r="J814" s="3"/>
    </row>
    <row x14ac:dyDescent="0.25" r="815" customHeight="1" ht="18.75">
      <c r="A815" s="17"/>
      <c r="B815" s="17"/>
      <c r="C815" s="3"/>
      <c r="D815" s="3"/>
      <c r="E815" s="3"/>
      <c r="F815" s="3"/>
      <c r="G815" s="3"/>
      <c r="H815" s="3"/>
      <c r="I815" s="3"/>
      <c r="J815" s="3"/>
    </row>
    <row x14ac:dyDescent="0.25" r="816" customHeight="1" ht="18.75">
      <c r="A816" s="17"/>
      <c r="B816" s="17"/>
      <c r="C816" s="3"/>
      <c r="D816" s="3"/>
      <c r="E816" s="3"/>
      <c r="F816" s="3"/>
      <c r="G816" s="3"/>
      <c r="H816" s="3"/>
      <c r="I816" s="3"/>
      <c r="J816" s="3"/>
    </row>
    <row x14ac:dyDescent="0.25" r="817" customHeight="1" ht="18.75">
      <c r="A817" s="17"/>
      <c r="B817" s="17"/>
      <c r="C817" s="3"/>
      <c r="D817" s="3"/>
      <c r="E817" s="3"/>
      <c r="F817" s="3"/>
      <c r="G817" s="3"/>
      <c r="H817" s="3"/>
      <c r="I817" s="3"/>
      <c r="J817" s="3"/>
    </row>
    <row x14ac:dyDescent="0.25" r="818" customHeight="1" ht="18.75">
      <c r="A818" s="17"/>
      <c r="B818" s="17"/>
      <c r="C818" s="3"/>
      <c r="D818" s="3"/>
      <c r="E818" s="3"/>
      <c r="F818" s="3"/>
      <c r="G818" s="3"/>
      <c r="H818" s="3"/>
      <c r="I818" s="3"/>
      <c r="J818" s="3"/>
    </row>
    <row x14ac:dyDescent="0.25" r="819" customHeight="1" ht="18.75">
      <c r="A819" s="17"/>
      <c r="B819" s="17"/>
      <c r="C819" s="3"/>
      <c r="D819" s="3"/>
      <c r="E819" s="3"/>
      <c r="F819" s="3"/>
      <c r="G819" s="3"/>
      <c r="H819" s="3"/>
      <c r="I819" s="3"/>
      <c r="J819" s="3"/>
    </row>
    <row x14ac:dyDescent="0.25" r="820" customHeight="1" ht="18.75">
      <c r="A820" s="17"/>
      <c r="B820" s="17"/>
      <c r="C820" s="3"/>
      <c r="D820" s="3"/>
      <c r="E820" s="3"/>
      <c r="F820" s="3"/>
      <c r="G820" s="3"/>
      <c r="H820" s="3"/>
      <c r="I820" s="3"/>
      <c r="J820" s="3"/>
    </row>
    <row x14ac:dyDescent="0.25" r="821" customHeight="1" ht="18.75">
      <c r="A821" s="17"/>
      <c r="B821" s="17"/>
      <c r="C821" s="3"/>
      <c r="D821" s="3"/>
      <c r="E821" s="3"/>
      <c r="F821" s="3"/>
      <c r="G821" s="3"/>
      <c r="H821" s="3"/>
      <c r="I821" s="3"/>
      <c r="J821" s="3"/>
    </row>
    <row x14ac:dyDescent="0.25" r="822" customHeight="1" ht="18.75">
      <c r="A822" s="17"/>
      <c r="B822" s="17"/>
      <c r="C822" s="3"/>
      <c r="D822" s="3"/>
      <c r="E822" s="3"/>
      <c r="F822" s="3"/>
      <c r="G822" s="3"/>
      <c r="H822" s="3"/>
      <c r="I822" s="3"/>
      <c r="J822" s="3"/>
    </row>
    <row x14ac:dyDescent="0.25" r="823" customHeight="1" ht="18.75">
      <c r="A823" s="17"/>
      <c r="B823" s="17"/>
      <c r="C823" s="3"/>
      <c r="D823" s="3"/>
      <c r="E823" s="3"/>
      <c r="F823" s="3"/>
      <c r="G823" s="3"/>
      <c r="H823" s="3"/>
      <c r="I823" s="3"/>
      <c r="J823" s="3"/>
    </row>
    <row x14ac:dyDescent="0.25" r="824" customHeight="1" ht="18.75">
      <c r="A824" s="17"/>
      <c r="B824" s="17"/>
      <c r="C824" s="3"/>
      <c r="D824" s="3"/>
      <c r="E824" s="3"/>
      <c r="F824" s="3"/>
      <c r="G824" s="3"/>
      <c r="H824" s="3"/>
      <c r="I824" s="3"/>
      <c r="J824" s="3"/>
    </row>
    <row x14ac:dyDescent="0.25" r="825" customHeight="1" ht="18.75">
      <c r="A825" s="17"/>
      <c r="B825" s="17"/>
      <c r="C825" s="3"/>
      <c r="D825" s="3"/>
      <c r="E825" s="3"/>
      <c r="F825" s="3"/>
      <c r="G825" s="3"/>
      <c r="H825" s="3"/>
      <c r="I825" s="3"/>
      <c r="J825" s="3"/>
    </row>
    <row x14ac:dyDescent="0.25" r="826" customHeight="1" ht="18.75">
      <c r="A826" s="17"/>
      <c r="B826" s="17"/>
      <c r="C826" s="3"/>
      <c r="D826" s="3"/>
      <c r="E826" s="3"/>
      <c r="F826" s="3"/>
      <c r="G826" s="3"/>
      <c r="H826" s="3"/>
      <c r="I826" s="3"/>
      <c r="J826" s="3"/>
    </row>
    <row x14ac:dyDescent="0.25" r="827" customHeight="1" ht="18.75">
      <c r="A827" s="17"/>
      <c r="B827" s="17"/>
      <c r="C827" s="3"/>
      <c r="D827" s="3"/>
      <c r="E827" s="3"/>
      <c r="F827" s="3"/>
      <c r="G827" s="3"/>
      <c r="H827" s="3"/>
      <c r="I827" s="3"/>
      <c r="J827" s="3"/>
    </row>
    <row x14ac:dyDescent="0.25" r="828" customHeight="1" ht="18.75">
      <c r="A828" s="17"/>
      <c r="B828" s="17"/>
      <c r="C828" s="3"/>
      <c r="D828" s="3"/>
      <c r="E828" s="3"/>
      <c r="F828" s="3"/>
      <c r="G828" s="3"/>
      <c r="H828" s="3"/>
      <c r="I828" s="3"/>
      <c r="J828" s="3"/>
    </row>
    <row x14ac:dyDescent="0.25" r="829" customHeight="1" ht="18.75">
      <c r="A829" s="17"/>
      <c r="B829" s="17"/>
      <c r="C829" s="3"/>
      <c r="D829" s="3"/>
      <c r="E829" s="3"/>
      <c r="F829" s="3"/>
      <c r="G829" s="3"/>
      <c r="H829" s="3"/>
      <c r="I829" s="3"/>
      <c r="J829" s="3"/>
    </row>
    <row x14ac:dyDescent="0.25" r="830" customHeight="1" ht="18.75">
      <c r="A830" s="17"/>
      <c r="B830" s="17"/>
      <c r="C830" s="3"/>
      <c r="D830" s="3"/>
      <c r="E830" s="3"/>
      <c r="F830" s="3"/>
      <c r="G830" s="3"/>
      <c r="H830" s="3"/>
      <c r="I830" s="3"/>
      <c r="J830" s="3"/>
    </row>
  </sheetData>
  <mergeCells count="3">
    <mergeCell ref="A1:J1"/>
    <mergeCell ref="A2:G2"/>
    <mergeCell ref="H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7"/>
  <sheetViews>
    <sheetView workbookViewId="0"/>
  </sheetViews>
  <sheetFormatPr defaultRowHeight="15" x14ac:dyDescent="0.25"/>
  <cols>
    <col min="1" max="1" style="19" width="25.719285714285714" customWidth="1" bestFit="1"/>
    <col min="2" max="2" style="19" width="62.005" customWidth="1" bestFit="1"/>
    <col min="3" max="3" style="19" width="13.576428571428572" customWidth="1" bestFit="1"/>
    <col min="4" max="4" style="19" width="13.576428571428572" customWidth="1" bestFit="1"/>
    <col min="5" max="5" style="19" width="13.576428571428572" customWidth="1" bestFit="1"/>
  </cols>
  <sheetData>
    <row x14ac:dyDescent="0.25" r="1" customHeight="1" ht="18.75">
      <c r="A1" s="3"/>
      <c r="B1" s="3"/>
      <c r="C1" s="3"/>
      <c r="D1" s="3"/>
      <c r="E1" s="3"/>
    </row>
    <row x14ac:dyDescent="0.25" r="2" customHeight="1" ht="18.75">
      <c r="A2" s="20" t="s">
        <v>670</v>
      </c>
      <c r="B2" s="21"/>
      <c r="C2" s="3"/>
      <c r="D2" s="3"/>
      <c r="E2" s="3"/>
    </row>
    <row x14ac:dyDescent="0.25" r="3" customHeight="1" ht="18.75">
      <c r="A3" s="22" t="s">
        <v>671</v>
      </c>
      <c r="B3" s="23"/>
      <c r="C3" s="3"/>
      <c r="D3" s="3"/>
      <c r="E3" s="3"/>
    </row>
    <row x14ac:dyDescent="0.25" r="4" customHeight="1" ht="18.75">
      <c r="A4" s="22" t="s">
        <v>672</v>
      </c>
      <c r="B4" s="24">
        <f>IF(ISBLANK(MP!B4),"",MP!B4)</f>
      </c>
      <c r="C4" s="3"/>
      <c r="D4" s="25"/>
      <c r="E4" s="26"/>
    </row>
    <row x14ac:dyDescent="0.25" r="5" customHeight="1" ht="18.75">
      <c r="A5" s="22" t="s">
        <v>673</v>
      </c>
      <c r="B5" s="24">
        <f>IF(ISBLANK(MP!B7),"",MP!B7)</f>
      </c>
      <c r="C5" s="3"/>
      <c r="D5" s="3"/>
      <c r="E5" s="3"/>
    </row>
    <row x14ac:dyDescent="0.25" r="6" customHeight="1" ht="18.75">
      <c r="A6" s="27" t="s">
        <v>674</v>
      </c>
      <c r="B6" s="28"/>
      <c r="C6" s="3"/>
      <c r="D6" s="3"/>
      <c r="E6" s="3"/>
    </row>
    <row x14ac:dyDescent="0.25" r="7" customHeight="1" ht="18.75">
      <c r="A7" s="22" t="s">
        <v>675</v>
      </c>
      <c r="B7" s="24">
        <f>IF(ISBLANK(MP!B10),"",MP!B10)</f>
      </c>
      <c r="C7" s="3"/>
      <c r="D7" s="3"/>
      <c r="E7" s="3"/>
    </row>
    <row x14ac:dyDescent="0.25" r="8" customHeight="1" ht="18.75">
      <c r="A8" s="22" t="s">
        <v>676</v>
      </c>
      <c r="B8" s="24">
        <f>IF(ISBLANK(MP!B11),"",MP!B11)</f>
      </c>
      <c r="C8" s="3"/>
      <c r="D8" s="3"/>
      <c r="E8" s="3"/>
    </row>
    <row x14ac:dyDescent="0.25" r="9" customHeight="1" ht="18.75">
      <c r="A9" s="22" t="s">
        <v>677</v>
      </c>
      <c r="B9" s="24">
        <f>IF(ISBLANK(MP!B12),"",MP!B12)</f>
      </c>
      <c r="C9" s="3"/>
      <c r="D9" s="3"/>
      <c r="E9" s="3"/>
    </row>
    <row x14ac:dyDescent="0.25" r="10" customHeight="1" ht="18.75">
      <c r="A10" s="27" t="s">
        <v>678</v>
      </c>
      <c r="B10" s="28"/>
      <c r="C10" s="3"/>
      <c r="D10" s="3"/>
      <c r="E10" s="3"/>
    </row>
    <row x14ac:dyDescent="0.25" r="11" customHeight="1" ht="18.75">
      <c r="A11" s="22" t="s">
        <v>679</v>
      </c>
      <c r="B11" s="29"/>
      <c r="C11" s="3"/>
      <c r="D11" s="3"/>
      <c r="E11" s="3"/>
    </row>
    <row x14ac:dyDescent="0.25" r="12" customHeight="1" ht="18.75">
      <c r="A12" s="22" t="s">
        <v>680</v>
      </c>
      <c r="B12" s="29"/>
      <c r="C12" s="3"/>
      <c r="D12" s="3"/>
      <c r="E12" s="3"/>
    </row>
    <row x14ac:dyDescent="0.25" r="13" customHeight="1" ht="18.75">
      <c r="A13" s="22" t="s">
        <v>681</v>
      </c>
      <c r="B13" s="29"/>
      <c r="C13" s="3"/>
      <c r="D13" s="3"/>
      <c r="E13" s="3"/>
    </row>
    <row x14ac:dyDescent="0.25" r="14" customHeight="1" ht="18.75">
      <c r="A14" s="27" t="s">
        <v>682</v>
      </c>
      <c r="B14" s="27" t="s">
        <v>683</v>
      </c>
      <c r="C14" s="30"/>
      <c r="D14" s="3"/>
      <c r="E14" s="3"/>
    </row>
    <row x14ac:dyDescent="0.25" r="15" customHeight="1" ht="18.75">
      <c r="A15" s="22" t="s">
        <v>675</v>
      </c>
      <c r="B15" s="24">
        <f>IF(ISBLANK(MP!B21),"",MP!B21)</f>
      </c>
      <c r="C15" s="3"/>
      <c r="D15" s="3"/>
      <c r="E15" s="3"/>
    </row>
    <row x14ac:dyDescent="0.25" r="16" customHeight="1" ht="18.75">
      <c r="A16" s="22" t="s">
        <v>676</v>
      </c>
      <c r="B16" s="24">
        <f>IF(ISBLANK(MP!B22),"",MP!B22)</f>
      </c>
      <c r="C16" s="3"/>
      <c r="D16" s="3"/>
      <c r="E16" s="3"/>
    </row>
    <row x14ac:dyDescent="0.25" r="17" customHeight="1" ht="18.75">
      <c r="A17" s="22" t="s">
        <v>677</v>
      </c>
      <c r="B17" s="24">
        <f>IF(ISBLANK(MP!B23),"",MP!B23)</f>
      </c>
      <c r="C17" s="3"/>
      <c r="D17" s="3"/>
      <c r="E17" s="3"/>
    </row>
    <row x14ac:dyDescent="0.25" r="18" customHeight="1" ht="18.75">
      <c r="A18" s="22" t="s">
        <v>684</v>
      </c>
      <c r="B18" s="24">
        <f>IF(ISBLANK(MP!B24),"",MP!B24)</f>
      </c>
      <c r="C18" s="3"/>
      <c r="D18" s="3"/>
      <c r="E18" s="3"/>
    </row>
    <row x14ac:dyDescent="0.25" r="19" customHeight="1" ht="18.75">
      <c r="A19" s="22" t="s">
        <v>685</v>
      </c>
      <c r="B19" s="24">
        <f>IF(ISBLANK(MP!B25),"",MP!B25)</f>
      </c>
      <c r="C19" s="3"/>
      <c r="D19" s="3"/>
      <c r="E19" s="3"/>
    </row>
    <row x14ac:dyDescent="0.25" r="20" customHeight="1" ht="18.75">
      <c r="A20" s="22" t="s">
        <v>686</v>
      </c>
      <c r="B20" s="24">
        <f>IF(ISBLANK(MP!B26),"",MP!B26)</f>
      </c>
      <c r="C20" s="3"/>
      <c r="D20" s="3"/>
      <c r="E20" s="3"/>
    </row>
    <row x14ac:dyDescent="0.25" r="21" customHeight="1" ht="18.75">
      <c r="A21" s="22" t="s">
        <v>687</v>
      </c>
      <c r="B21" s="24">
        <f>IF(ISBLANK(MP!B27),"",MP!B27)</f>
      </c>
      <c r="C21" s="3"/>
      <c r="D21" s="3"/>
      <c r="E21" s="3"/>
    </row>
    <row x14ac:dyDescent="0.25" r="22" customHeight="1" ht="18.75">
      <c r="A22" s="22" t="s">
        <v>688</v>
      </c>
      <c r="B22" s="24">
        <f>IF(ISBLANK(MP!B28),"",MP!B28)</f>
      </c>
      <c r="C22" s="3"/>
      <c r="D22" s="3"/>
      <c r="E22" s="3"/>
    </row>
    <row x14ac:dyDescent="0.25" r="23" customHeight="1" ht="18.75">
      <c r="A23" s="22" t="s">
        <v>689</v>
      </c>
      <c r="B23" s="24">
        <f>IF(ISBLANK(MP!B29),"",MP!B29)</f>
      </c>
      <c r="C23" s="3"/>
      <c r="D23" s="3"/>
      <c r="E23" s="3"/>
    </row>
    <row x14ac:dyDescent="0.25" r="24" customHeight="1" ht="18.75">
      <c r="A24" s="22" t="s">
        <v>690</v>
      </c>
      <c r="B24" s="24">
        <f>IF(ISBLANK(MP!B30),"",MP!B30)</f>
      </c>
      <c r="C24" s="3"/>
      <c r="D24" s="3"/>
      <c r="E24" s="3"/>
    </row>
    <row x14ac:dyDescent="0.25" r="25" customHeight="1" ht="18.75">
      <c r="A25" s="27" t="s">
        <v>691</v>
      </c>
      <c r="B25" s="28"/>
      <c r="C25" s="3"/>
      <c r="D25" s="3"/>
      <c r="E25" s="3"/>
    </row>
    <row x14ac:dyDescent="0.25" r="26" customHeight="1" ht="18.75">
      <c r="A26" s="29"/>
      <c r="B26" s="29"/>
      <c r="C26" s="3"/>
      <c r="D26" s="3"/>
      <c r="E26" s="3"/>
    </row>
    <row x14ac:dyDescent="0.25" r="27" customHeight="1" ht="18.75">
      <c r="A27" s="3"/>
      <c r="B27" s="3"/>
      <c r="C27" s="3"/>
      <c r="D27" s="3"/>
      <c r="E27" s="3"/>
    </row>
  </sheetData>
  <mergeCells count="1">
    <mergeCell ref="A26:B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831"/>
  <sheetViews>
    <sheetView workbookViewId="0">
      <pane state="frozen" activePane="bottomLeft" topLeftCell="A3" ySplit="2" xSplit="0"/>
    </sheetView>
  </sheetViews>
  <sheetFormatPr defaultRowHeight="15" x14ac:dyDescent="0.25"/>
  <cols>
    <col min="1" max="1" style="18" width="8.147857142857141" customWidth="1" bestFit="1"/>
    <col min="2" max="2" style="18" width="8.43357142857143" customWidth="1" bestFit="1"/>
    <col min="3" max="3" style="19" width="12.147857142857141" customWidth="1" bestFit="1"/>
    <col min="4" max="4" style="19" width="56.71928571428572" customWidth="1" bestFit="1"/>
    <col min="5" max="5" style="19" width="10.005" customWidth="1" bestFit="1"/>
    <col min="6" max="6" style="19" width="8.43357142857143" customWidth="1" bestFit="1"/>
    <col min="7" max="7" style="19" width="6.433571428571429" customWidth="1" bestFit="1"/>
    <col min="8" max="8" style="19" width="28.433571428571426" customWidth="1" bestFit="1"/>
    <col min="9" max="9" style="19" width="9.43357142857143" customWidth="1" bestFit="1"/>
    <col min="10" max="10" style="19" width="10.005" customWidth="1" bestFit="1"/>
    <col min="11" max="11" style="19" width="13.576428571428572" customWidth="1" bestFit="1"/>
    <col min="12" max="12" style="19" width="13.576428571428572" customWidth="1" bestFit="1"/>
  </cols>
  <sheetData>
    <row x14ac:dyDescent="0.25" r="1" customHeight="1" ht="18.75">
      <c r="A1" s="1" t="s">
        <v>0</v>
      </c>
      <c r="B1" s="1"/>
      <c r="C1" s="2"/>
      <c r="D1" s="2"/>
      <c r="E1" s="2"/>
      <c r="F1" s="2"/>
      <c r="G1" s="2"/>
      <c r="H1" s="2"/>
      <c r="I1" s="2"/>
      <c r="J1" s="2"/>
      <c r="K1" s="3"/>
      <c r="L1" s="3"/>
    </row>
    <row x14ac:dyDescent="0.25" r="2" customHeight="1" ht="18.75">
      <c r="A2" s="4" t="s">
        <v>1</v>
      </c>
      <c r="B2" s="4" t="s">
        <v>2</v>
      </c>
      <c r="C2" s="5" t="s">
        <v>3</v>
      </c>
      <c r="D2" s="5" t="s">
        <v>4</v>
      </c>
      <c r="E2" s="5" t="s">
        <v>5</v>
      </c>
      <c r="F2" s="5" t="s">
        <v>6</v>
      </c>
      <c r="G2" s="5" t="s">
        <v>7</v>
      </c>
      <c r="H2" s="5" t="s">
        <v>8</v>
      </c>
      <c r="I2" s="5" t="s">
        <v>9</v>
      </c>
      <c r="J2" s="5" t="s">
        <v>10</v>
      </c>
      <c r="K2" s="3"/>
      <c r="L2" s="3"/>
    </row>
    <row x14ac:dyDescent="0.25" r="3" customHeight="1" ht="18.75">
      <c r="A3" s="6" t="s">
        <v>11</v>
      </c>
      <c r="B3" s="6" t="s">
        <v>12</v>
      </c>
      <c r="C3" s="7" t="s">
        <v>13</v>
      </c>
      <c r="D3" s="8" t="s">
        <v>14</v>
      </c>
      <c r="E3" s="8"/>
      <c r="F3" s="9" t="s">
        <v>15</v>
      </c>
      <c r="G3" s="7"/>
      <c r="H3" s="8" t="s">
        <v>16</v>
      </c>
      <c r="I3" s="7" t="s">
        <v>17</v>
      </c>
      <c r="J3" s="10"/>
      <c r="K3" s="3"/>
      <c r="L3" s="3"/>
    </row>
    <row x14ac:dyDescent="0.25" r="4" customHeight="1" ht="18.75">
      <c r="A4" s="6" t="s">
        <v>18</v>
      </c>
      <c r="B4" s="6" t="s">
        <v>12</v>
      </c>
      <c r="C4" s="11"/>
      <c r="D4" s="8" t="s">
        <v>19</v>
      </c>
      <c r="E4" s="8"/>
      <c r="F4" s="9" t="s">
        <v>15</v>
      </c>
      <c r="G4" s="7"/>
      <c r="H4" s="8" t="s">
        <v>20</v>
      </c>
      <c r="I4" s="7" t="s">
        <v>21</v>
      </c>
      <c r="J4" s="10"/>
      <c r="K4" s="3"/>
      <c r="L4" s="3"/>
    </row>
    <row x14ac:dyDescent="0.25" r="5" customHeight="1" ht="18.75">
      <c r="A5" s="6" t="s">
        <v>22</v>
      </c>
      <c r="B5" s="6" t="s">
        <v>23</v>
      </c>
      <c r="C5" s="11"/>
      <c r="D5" s="8" t="s">
        <v>24</v>
      </c>
      <c r="E5" s="8"/>
      <c r="F5" s="9" t="s">
        <v>15</v>
      </c>
      <c r="G5" s="7"/>
      <c r="H5" s="8"/>
      <c r="I5" s="7" t="s">
        <v>21</v>
      </c>
      <c r="J5" s="10"/>
      <c r="K5" s="3"/>
      <c r="L5" s="3"/>
    </row>
    <row x14ac:dyDescent="0.25" r="6" customHeight="1" ht="18.75">
      <c r="A6" s="6" t="s">
        <v>25</v>
      </c>
      <c r="B6" s="6" t="s">
        <v>23</v>
      </c>
      <c r="C6" s="11"/>
      <c r="D6" s="8" t="s">
        <v>26</v>
      </c>
      <c r="E6" s="8"/>
      <c r="F6" s="9" t="s">
        <v>15</v>
      </c>
      <c r="G6" s="7"/>
      <c r="H6" s="8" t="s">
        <v>27</v>
      </c>
      <c r="I6" s="7" t="s">
        <v>17</v>
      </c>
      <c r="J6" s="10"/>
      <c r="K6" s="3"/>
      <c r="L6" s="3"/>
    </row>
    <row x14ac:dyDescent="0.25" r="7" customHeight="1" ht="18.75">
      <c r="A7" s="6" t="s">
        <v>28</v>
      </c>
      <c r="B7" s="6" t="s">
        <v>29</v>
      </c>
      <c r="C7" s="11"/>
      <c r="D7" s="8" t="s">
        <v>30</v>
      </c>
      <c r="E7" s="8"/>
      <c r="F7" s="9" t="s">
        <v>15</v>
      </c>
      <c r="G7" s="7"/>
      <c r="H7" s="8" t="s">
        <v>31</v>
      </c>
      <c r="I7" s="7" t="s">
        <v>32</v>
      </c>
      <c r="J7" s="10"/>
      <c r="K7" s="3"/>
      <c r="L7" s="3"/>
    </row>
    <row x14ac:dyDescent="0.25" r="8" customHeight="1" ht="18.75">
      <c r="A8" s="6" t="s">
        <v>33</v>
      </c>
      <c r="B8" s="6" t="s">
        <v>34</v>
      </c>
      <c r="C8" s="11"/>
      <c r="D8" s="8" t="s">
        <v>35</v>
      </c>
      <c r="E8" s="8"/>
      <c r="F8" s="9" t="s">
        <v>15</v>
      </c>
      <c r="G8" s="7"/>
      <c r="H8" s="8"/>
      <c r="I8" s="7" t="s">
        <v>17</v>
      </c>
      <c r="J8" s="10"/>
      <c r="K8" s="3"/>
      <c r="L8" s="3"/>
    </row>
    <row x14ac:dyDescent="0.25" r="9" customHeight="1" ht="18.75">
      <c r="A9" s="6" t="s">
        <v>36</v>
      </c>
      <c r="B9" s="6" t="s">
        <v>37</v>
      </c>
      <c r="C9" s="11"/>
      <c r="D9" s="8" t="s">
        <v>38</v>
      </c>
      <c r="E9" s="8"/>
      <c r="F9" s="9" t="s">
        <v>15</v>
      </c>
      <c r="G9" s="7"/>
      <c r="H9" s="8" t="s">
        <v>39</v>
      </c>
      <c r="I9" s="7" t="s">
        <v>17</v>
      </c>
      <c r="J9" s="10"/>
      <c r="K9" s="3"/>
      <c r="L9" s="3"/>
    </row>
    <row x14ac:dyDescent="0.25" r="10" customHeight="1" ht="18.75">
      <c r="A10" s="6" t="s">
        <v>40</v>
      </c>
      <c r="B10" s="6" t="s">
        <v>23</v>
      </c>
      <c r="C10" s="11"/>
      <c r="D10" s="8" t="s">
        <v>41</v>
      </c>
      <c r="E10" s="8"/>
      <c r="F10" s="9" t="s">
        <v>15</v>
      </c>
      <c r="G10" s="7"/>
      <c r="H10" s="8" t="s">
        <v>42</v>
      </c>
      <c r="I10" s="7" t="s">
        <v>17</v>
      </c>
      <c r="J10" s="10"/>
      <c r="K10" s="3"/>
      <c r="L10" s="3"/>
    </row>
    <row x14ac:dyDescent="0.25" r="11" customHeight="1" ht="18.75">
      <c r="A11" s="6" t="s">
        <v>43</v>
      </c>
      <c r="B11" s="6" t="s">
        <v>34</v>
      </c>
      <c r="C11" s="11"/>
      <c r="D11" s="8" t="s">
        <v>44</v>
      </c>
      <c r="E11" s="8"/>
      <c r="F11" s="9" t="s">
        <v>15</v>
      </c>
      <c r="G11" s="7"/>
      <c r="H11" s="8" t="s">
        <v>45</v>
      </c>
      <c r="I11" s="7" t="s">
        <v>32</v>
      </c>
      <c r="J11" s="10"/>
      <c r="K11" s="3"/>
      <c r="L11" s="3"/>
    </row>
    <row x14ac:dyDescent="0.25" r="12" customHeight="1" ht="18.75">
      <c r="A12" s="6" t="s">
        <v>46</v>
      </c>
      <c r="B12" s="6" t="s">
        <v>34</v>
      </c>
      <c r="C12" s="11"/>
      <c r="D12" s="8" t="s">
        <v>47</v>
      </c>
      <c r="E12" s="8"/>
      <c r="F12" s="9" t="s">
        <v>15</v>
      </c>
      <c r="G12" s="7"/>
      <c r="H12" s="8"/>
      <c r="I12" s="7" t="s">
        <v>17</v>
      </c>
      <c r="J12" s="10"/>
      <c r="K12" s="3"/>
      <c r="L12" s="3"/>
    </row>
    <row x14ac:dyDescent="0.25" r="13" customHeight="1" ht="18.75">
      <c r="A13" s="6" t="s">
        <v>48</v>
      </c>
      <c r="B13" s="6" t="s">
        <v>49</v>
      </c>
      <c r="C13" s="11"/>
      <c r="D13" s="8" t="s">
        <v>50</v>
      </c>
      <c r="E13" s="8"/>
      <c r="F13" s="9" t="s">
        <v>15</v>
      </c>
      <c r="G13" s="7"/>
      <c r="H13" s="8" t="s">
        <v>51</v>
      </c>
      <c r="I13" s="7" t="s">
        <v>32</v>
      </c>
      <c r="J13" s="10"/>
      <c r="K13" s="3"/>
      <c r="L13" s="3"/>
    </row>
    <row x14ac:dyDescent="0.25" r="14" customHeight="1" ht="18.75">
      <c r="A14" s="6" t="s">
        <v>52</v>
      </c>
      <c r="B14" s="6" t="s">
        <v>23</v>
      </c>
      <c r="C14" s="11"/>
      <c r="D14" s="8" t="s">
        <v>53</v>
      </c>
      <c r="E14" s="8"/>
      <c r="F14" s="9" t="s">
        <v>15</v>
      </c>
      <c r="G14" s="7"/>
      <c r="H14" s="8"/>
      <c r="I14" s="7" t="s">
        <v>32</v>
      </c>
      <c r="J14" s="10"/>
      <c r="K14" s="3"/>
      <c r="L14" s="3"/>
    </row>
    <row x14ac:dyDescent="0.25" r="15" customHeight="1" ht="18.75">
      <c r="A15" s="6" t="s">
        <v>54</v>
      </c>
      <c r="B15" s="6" t="s">
        <v>12</v>
      </c>
      <c r="C15" s="11"/>
      <c r="D15" s="8" t="s">
        <v>55</v>
      </c>
      <c r="E15" s="8"/>
      <c r="F15" s="9" t="s">
        <v>15</v>
      </c>
      <c r="G15" s="7"/>
      <c r="H15" s="8" t="s">
        <v>56</v>
      </c>
      <c r="I15" s="7" t="s">
        <v>17</v>
      </c>
      <c r="J15" s="10"/>
      <c r="K15" s="3"/>
      <c r="L15" s="3"/>
    </row>
    <row x14ac:dyDescent="0.25" r="16" customHeight="1" ht="18.75">
      <c r="A16" s="6" t="s">
        <v>57</v>
      </c>
      <c r="B16" s="6" t="s">
        <v>58</v>
      </c>
      <c r="C16" s="11"/>
      <c r="D16" s="8" t="s">
        <v>59</v>
      </c>
      <c r="E16" s="8"/>
      <c r="F16" s="9" t="s">
        <v>15</v>
      </c>
      <c r="G16" s="7"/>
      <c r="H16" s="8" t="s">
        <v>60</v>
      </c>
      <c r="I16" s="7" t="s">
        <v>61</v>
      </c>
      <c r="J16" s="10"/>
      <c r="K16" s="3"/>
      <c r="L16" s="3"/>
    </row>
    <row x14ac:dyDescent="0.25" r="17" customHeight="1" ht="18.75">
      <c r="A17" s="6" t="s">
        <v>62</v>
      </c>
      <c r="B17" s="6" t="s">
        <v>49</v>
      </c>
      <c r="C17" s="11"/>
      <c r="D17" s="8" t="s">
        <v>63</v>
      </c>
      <c r="E17" s="8"/>
      <c r="F17" s="9" t="s">
        <v>15</v>
      </c>
      <c r="G17" s="7"/>
      <c r="H17" s="8" t="s">
        <v>64</v>
      </c>
      <c r="I17" s="7" t="s">
        <v>32</v>
      </c>
      <c r="J17" s="10"/>
      <c r="K17" s="3"/>
      <c r="L17" s="3"/>
    </row>
    <row x14ac:dyDescent="0.25" r="18" customHeight="1" ht="18.75">
      <c r="A18" s="6" t="s">
        <v>65</v>
      </c>
      <c r="B18" s="6" t="s">
        <v>66</v>
      </c>
      <c r="C18" s="11"/>
      <c r="D18" s="8" t="s">
        <v>67</v>
      </c>
      <c r="E18" s="8"/>
      <c r="F18" s="9" t="s">
        <v>15</v>
      </c>
      <c r="G18" s="7"/>
      <c r="H18" s="8" t="s">
        <v>68</v>
      </c>
      <c r="I18" s="7" t="s">
        <v>17</v>
      </c>
      <c r="J18" s="10"/>
      <c r="K18" s="3"/>
      <c r="L18" s="3"/>
    </row>
    <row x14ac:dyDescent="0.25" r="19" customHeight="1" ht="18.75">
      <c r="A19" s="6" t="s">
        <v>69</v>
      </c>
      <c r="B19" s="6" t="s">
        <v>23</v>
      </c>
      <c r="C19" s="7" t="s">
        <v>70</v>
      </c>
      <c r="D19" s="8" t="s">
        <v>71</v>
      </c>
      <c r="E19" s="8"/>
      <c r="F19" s="9" t="s">
        <v>15</v>
      </c>
      <c r="G19" s="7"/>
      <c r="H19" s="8"/>
      <c r="I19" s="7" t="s">
        <v>21</v>
      </c>
      <c r="J19" s="10"/>
      <c r="K19" s="3"/>
      <c r="L19" s="3"/>
    </row>
    <row x14ac:dyDescent="0.25" r="20" customHeight="1" ht="18.75">
      <c r="A20" s="6" t="s">
        <v>72</v>
      </c>
      <c r="B20" s="6" t="s">
        <v>12</v>
      </c>
      <c r="C20" s="11"/>
      <c r="D20" s="8" t="s">
        <v>73</v>
      </c>
      <c r="E20" s="8"/>
      <c r="F20" s="9" t="s">
        <v>15</v>
      </c>
      <c r="G20" s="7"/>
      <c r="H20" s="8" t="s">
        <v>74</v>
      </c>
      <c r="I20" s="7" t="s">
        <v>17</v>
      </c>
      <c r="J20" s="10"/>
      <c r="K20" s="3"/>
      <c r="L20" s="3"/>
    </row>
    <row x14ac:dyDescent="0.25" r="21" customHeight="1" ht="18.75">
      <c r="A21" s="6" t="s">
        <v>75</v>
      </c>
      <c r="B21" s="6" t="s">
        <v>23</v>
      </c>
      <c r="C21" s="7" t="s">
        <v>76</v>
      </c>
      <c r="D21" s="8" t="s">
        <v>77</v>
      </c>
      <c r="E21" s="8"/>
      <c r="F21" s="9" t="s">
        <v>15</v>
      </c>
      <c r="G21" s="7"/>
      <c r="H21" s="8" t="s">
        <v>78</v>
      </c>
      <c r="I21" s="7" t="s">
        <v>61</v>
      </c>
      <c r="J21" s="10"/>
      <c r="K21" s="3"/>
      <c r="L21" s="3"/>
    </row>
    <row x14ac:dyDescent="0.25" r="22" customHeight="1" ht="18.75">
      <c r="A22" s="6" t="s">
        <v>79</v>
      </c>
      <c r="B22" s="6" t="s">
        <v>58</v>
      </c>
      <c r="C22" s="11"/>
      <c r="D22" s="8" t="s">
        <v>80</v>
      </c>
      <c r="E22" s="8"/>
      <c r="F22" s="9" t="s">
        <v>81</v>
      </c>
      <c r="G22" s="7"/>
      <c r="H22" s="8" t="s">
        <v>82</v>
      </c>
      <c r="I22" s="7" t="s">
        <v>32</v>
      </c>
      <c r="J22" s="10"/>
      <c r="K22" s="3"/>
      <c r="L22" s="3"/>
    </row>
    <row x14ac:dyDescent="0.25" r="23" customHeight="1" ht="18.75">
      <c r="A23" s="6" t="s">
        <v>83</v>
      </c>
      <c r="B23" s="6" t="s">
        <v>49</v>
      </c>
      <c r="C23" s="11"/>
      <c r="D23" s="8" t="s">
        <v>84</v>
      </c>
      <c r="E23" s="8"/>
      <c r="F23" s="9" t="s">
        <v>81</v>
      </c>
      <c r="G23" s="7"/>
      <c r="H23" s="8" t="s">
        <v>85</v>
      </c>
      <c r="I23" s="7" t="s">
        <v>17</v>
      </c>
      <c r="J23" s="10"/>
      <c r="K23" s="3"/>
      <c r="L23" s="3"/>
    </row>
    <row x14ac:dyDescent="0.25" r="24" customHeight="1" ht="18.75">
      <c r="A24" s="6" t="s">
        <v>86</v>
      </c>
      <c r="B24" s="6" t="s">
        <v>12</v>
      </c>
      <c r="C24" s="11"/>
      <c r="D24" s="8" t="s">
        <v>87</v>
      </c>
      <c r="E24" s="8"/>
      <c r="F24" s="9" t="s">
        <v>81</v>
      </c>
      <c r="G24" s="7"/>
      <c r="H24" s="8" t="s">
        <v>88</v>
      </c>
      <c r="I24" s="7" t="s">
        <v>17</v>
      </c>
      <c r="J24" s="10"/>
      <c r="K24" s="3"/>
      <c r="L24" s="3"/>
    </row>
    <row x14ac:dyDescent="0.25" r="25" customHeight="1" ht="18.75">
      <c r="A25" s="6" t="s">
        <v>89</v>
      </c>
      <c r="B25" s="6" t="s">
        <v>12</v>
      </c>
      <c r="C25" s="11"/>
      <c r="D25" s="8" t="s">
        <v>90</v>
      </c>
      <c r="E25" s="8"/>
      <c r="F25" s="9" t="s">
        <v>81</v>
      </c>
      <c r="G25" s="7"/>
      <c r="H25" s="8" t="s">
        <v>91</v>
      </c>
      <c r="I25" s="7" t="s">
        <v>17</v>
      </c>
      <c r="J25" s="10"/>
      <c r="K25" s="3"/>
      <c r="L25" s="3"/>
    </row>
    <row x14ac:dyDescent="0.25" r="26" customHeight="1" ht="18.75">
      <c r="A26" s="6" t="s">
        <v>92</v>
      </c>
      <c r="B26" s="6" t="s">
        <v>12</v>
      </c>
      <c r="C26" s="11"/>
      <c r="D26" s="8" t="s">
        <v>93</v>
      </c>
      <c r="E26" s="8"/>
      <c r="F26" s="9" t="s">
        <v>81</v>
      </c>
      <c r="G26" s="7"/>
      <c r="H26" s="8" t="s">
        <v>94</v>
      </c>
      <c r="I26" s="7" t="s">
        <v>17</v>
      </c>
      <c r="J26" s="10"/>
      <c r="K26" s="3"/>
      <c r="L26" s="3"/>
    </row>
    <row x14ac:dyDescent="0.25" r="27" customHeight="1" ht="18.75">
      <c r="A27" s="6" t="s">
        <v>95</v>
      </c>
      <c r="B27" s="6" t="s">
        <v>12</v>
      </c>
      <c r="C27" s="11"/>
      <c r="D27" s="8" t="s">
        <v>96</v>
      </c>
      <c r="E27" s="8"/>
      <c r="F27" s="9" t="s">
        <v>81</v>
      </c>
      <c r="G27" s="7"/>
      <c r="H27" s="8" t="s">
        <v>97</v>
      </c>
      <c r="I27" s="7" t="s">
        <v>17</v>
      </c>
      <c r="J27" s="10"/>
      <c r="K27" s="3"/>
      <c r="L27" s="3"/>
    </row>
    <row x14ac:dyDescent="0.25" r="28" customHeight="1" ht="18.75">
      <c r="A28" s="6" t="s">
        <v>98</v>
      </c>
      <c r="B28" s="6" t="s">
        <v>12</v>
      </c>
      <c r="C28" s="11"/>
      <c r="D28" s="8" t="s">
        <v>99</v>
      </c>
      <c r="E28" s="8"/>
      <c r="F28" s="9" t="s">
        <v>81</v>
      </c>
      <c r="G28" s="7"/>
      <c r="H28" s="8" t="s">
        <v>82</v>
      </c>
      <c r="I28" s="7" t="s">
        <v>32</v>
      </c>
      <c r="J28" s="10"/>
      <c r="K28" s="3"/>
      <c r="L28" s="3"/>
    </row>
    <row x14ac:dyDescent="0.25" r="29" customHeight="1" ht="18.75">
      <c r="A29" s="6" t="s">
        <v>100</v>
      </c>
      <c r="B29" s="6" t="s">
        <v>12</v>
      </c>
      <c r="C29" s="11"/>
      <c r="D29" s="8" t="s">
        <v>101</v>
      </c>
      <c r="E29" s="8"/>
      <c r="F29" s="9" t="s">
        <v>81</v>
      </c>
      <c r="G29" s="7"/>
      <c r="H29" s="8" t="s">
        <v>102</v>
      </c>
      <c r="I29" s="7" t="s">
        <v>17</v>
      </c>
      <c r="J29" s="10"/>
      <c r="K29" s="3"/>
      <c r="L29" s="3"/>
    </row>
    <row x14ac:dyDescent="0.25" r="30" customHeight="1" ht="18.75">
      <c r="A30" s="6" t="s">
        <v>103</v>
      </c>
      <c r="B30" s="6" t="s">
        <v>12</v>
      </c>
      <c r="C30" s="11"/>
      <c r="D30" s="8" t="s">
        <v>104</v>
      </c>
      <c r="E30" s="8"/>
      <c r="F30" s="9" t="s">
        <v>81</v>
      </c>
      <c r="G30" s="7"/>
      <c r="H30" s="8" t="s">
        <v>82</v>
      </c>
      <c r="I30" s="7" t="s">
        <v>17</v>
      </c>
      <c r="J30" s="10"/>
      <c r="K30" s="3"/>
      <c r="L30" s="3"/>
    </row>
    <row x14ac:dyDescent="0.25" r="31" customHeight="1" ht="18.75">
      <c r="A31" s="6" t="s">
        <v>105</v>
      </c>
      <c r="B31" s="6" t="s">
        <v>106</v>
      </c>
      <c r="C31" s="7" t="s">
        <v>107</v>
      </c>
      <c r="D31" s="8" t="s">
        <v>108</v>
      </c>
      <c r="E31" s="8"/>
      <c r="F31" s="9" t="s">
        <v>81</v>
      </c>
      <c r="G31" s="7"/>
      <c r="H31" s="8"/>
      <c r="I31" s="7" t="s">
        <v>32</v>
      </c>
      <c r="J31" s="10"/>
      <c r="K31" s="3"/>
      <c r="L31" s="3"/>
    </row>
    <row x14ac:dyDescent="0.25" r="32" customHeight="1" ht="18.75">
      <c r="A32" s="6" t="s">
        <v>109</v>
      </c>
      <c r="B32" s="6" t="s">
        <v>106</v>
      </c>
      <c r="C32" s="11"/>
      <c r="D32" s="8" t="s">
        <v>110</v>
      </c>
      <c r="E32" s="8"/>
      <c r="F32" s="9" t="s">
        <v>81</v>
      </c>
      <c r="G32" s="7"/>
      <c r="H32" s="8" t="s">
        <v>111</v>
      </c>
      <c r="I32" s="7" t="s">
        <v>32</v>
      </c>
      <c r="J32" s="10"/>
      <c r="K32" s="3"/>
      <c r="L32" s="3"/>
    </row>
    <row x14ac:dyDescent="0.25" r="33" customHeight="1" ht="18.75">
      <c r="A33" s="6" t="s">
        <v>112</v>
      </c>
      <c r="B33" s="6" t="s">
        <v>23</v>
      </c>
      <c r="C33" s="7" t="s">
        <v>113</v>
      </c>
      <c r="D33" s="8" t="s">
        <v>114</v>
      </c>
      <c r="E33" s="8"/>
      <c r="F33" s="9" t="s">
        <v>81</v>
      </c>
      <c r="G33" s="7"/>
      <c r="H33" s="8" t="s">
        <v>115</v>
      </c>
      <c r="I33" s="7" t="s">
        <v>17</v>
      </c>
      <c r="J33" s="10"/>
      <c r="K33" s="3"/>
      <c r="L33" s="3"/>
    </row>
    <row x14ac:dyDescent="0.25" r="34" customHeight="1" ht="18.75">
      <c r="A34" s="6" t="s">
        <v>116</v>
      </c>
      <c r="B34" s="6" t="s">
        <v>106</v>
      </c>
      <c r="C34" s="11"/>
      <c r="D34" s="8" t="s">
        <v>117</v>
      </c>
      <c r="E34" s="8"/>
      <c r="F34" s="9" t="s">
        <v>81</v>
      </c>
      <c r="G34" s="7"/>
      <c r="H34" s="8" t="s">
        <v>118</v>
      </c>
      <c r="I34" s="7" t="s">
        <v>32</v>
      </c>
      <c r="J34" s="10"/>
      <c r="K34" s="3"/>
      <c r="L34" s="3"/>
    </row>
    <row x14ac:dyDescent="0.25" r="35" customHeight="1" ht="18.75">
      <c r="A35" s="6" t="s">
        <v>119</v>
      </c>
      <c r="B35" s="6" t="s">
        <v>34</v>
      </c>
      <c r="C35" s="7" t="s">
        <v>120</v>
      </c>
      <c r="D35" s="8" t="s">
        <v>121</v>
      </c>
      <c r="E35" s="8"/>
      <c r="F35" s="9" t="s">
        <v>81</v>
      </c>
      <c r="G35" s="7"/>
      <c r="H35" s="8" t="s">
        <v>122</v>
      </c>
      <c r="I35" s="7" t="s">
        <v>61</v>
      </c>
      <c r="J35" s="10"/>
      <c r="K35" s="3"/>
      <c r="L35" s="3"/>
    </row>
    <row x14ac:dyDescent="0.25" r="36" customHeight="1" ht="18.75">
      <c r="A36" s="6" t="s">
        <v>123</v>
      </c>
      <c r="B36" s="6" t="s">
        <v>34</v>
      </c>
      <c r="C36" s="7" t="s">
        <v>124</v>
      </c>
      <c r="D36" s="8" t="s">
        <v>125</v>
      </c>
      <c r="E36" s="8"/>
      <c r="F36" s="9" t="s">
        <v>81</v>
      </c>
      <c r="G36" s="7"/>
      <c r="H36" s="8" t="s">
        <v>126</v>
      </c>
      <c r="I36" s="7" t="s">
        <v>17</v>
      </c>
      <c r="J36" s="10"/>
      <c r="K36" s="3"/>
      <c r="L36" s="3"/>
    </row>
    <row x14ac:dyDescent="0.25" r="37" customHeight="1" ht="18.75">
      <c r="A37" s="6" t="s">
        <v>127</v>
      </c>
      <c r="B37" s="6" t="s">
        <v>34</v>
      </c>
      <c r="C37" s="7" t="s">
        <v>128</v>
      </c>
      <c r="D37" s="8" t="s">
        <v>129</v>
      </c>
      <c r="E37" s="8"/>
      <c r="F37" s="9" t="s">
        <v>81</v>
      </c>
      <c r="G37" s="7"/>
      <c r="H37" s="8" t="s">
        <v>130</v>
      </c>
      <c r="I37" s="7" t="s">
        <v>32</v>
      </c>
      <c r="J37" s="10"/>
      <c r="K37" s="3"/>
      <c r="L37" s="3"/>
    </row>
    <row x14ac:dyDescent="0.25" r="38" customHeight="1" ht="18.75">
      <c r="A38" s="6" t="s">
        <v>131</v>
      </c>
      <c r="B38" s="6" t="s">
        <v>132</v>
      </c>
      <c r="C38" s="11"/>
      <c r="D38" s="8" t="s">
        <v>133</v>
      </c>
      <c r="E38" s="8"/>
      <c r="F38" s="9" t="s">
        <v>81</v>
      </c>
      <c r="G38" s="7"/>
      <c r="H38" s="8" t="s">
        <v>134</v>
      </c>
      <c r="I38" s="7" t="s">
        <v>21</v>
      </c>
      <c r="J38" s="10"/>
      <c r="K38" s="3"/>
      <c r="L38" s="3"/>
    </row>
    <row x14ac:dyDescent="0.25" r="39" customHeight="1" ht="18.75">
      <c r="A39" s="6" t="s">
        <v>135</v>
      </c>
      <c r="B39" s="6" t="s">
        <v>34</v>
      </c>
      <c r="C39" s="7" t="s">
        <v>136</v>
      </c>
      <c r="D39" s="8" t="s">
        <v>137</v>
      </c>
      <c r="E39" s="8"/>
      <c r="F39" s="9" t="s">
        <v>81</v>
      </c>
      <c r="G39" s="7"/>
      <c r="H39" s="8"/>
      <c r="I39" s="7" t="s">
        <v>32</v>
      </c>
      <c r="J39" s="10"/>
      <c r="K39" s="3"/>
      <c r="L39" s="3"/>
    </row>
    <row x14ac:dyDescent="0.25" r="40" customHeight="1" ht="18.75">
      <c r="A40" s="6" t="s">
        <v>138</v>
      </c>
      <c r="B40" s="6" t="s">
        <v>34</v>
      </c>
      <c r="C40" s="7" t="s">
        <v>139</v>
      </c>
      <c r="D40" s="8" t="s">
        <v>140</v>
      </c>
      <c r="E40" s="8"/>
      <c r="F40" s="9" t="s">
        <v>81</v>
      </c>
      <c r="G40" s="7"/>
      <c r="H40" s="8" t="s">
        <v>141</v>
      </c>
      <c r="I40" s="7" t="s">
        <v>32</v>
      </c>
      <c r="J40" s="10"/>
      <c r="K40" s="3"/>
      <c r="L40" s="3"/>
    </row>
    <row x14ac:dyDescent="0.25" r="41" customHeight="1" ht="18.75">
      <c r="A41" s="6" t="s">
        <v>142</v>
      </c>
      <c r="B41" s="6" t="s">
        <v>34</v>
      </c>
      <c r="C41" s="7" t="s">
        <v>136</v>
      </c>
      <c r="D41" s="8" t="s">
        <v>143</v>
      </c>
      <c r="E41" s="8"/>
      <c r="F41" s="9" t="s">
        <v>81</v>
      </c>
      <c r="G41" s="7"/>
      <c r="H41" s="8" t="s">
        <v>144</v>
      </c>
      <c r="I41" s="7" t="s">
        <v>17</v>
      </c>
      <c r="J41" s="10"/>
      <c r="K41" s="3"/>
      <c r="L41" s="3"/>
    </row>
    <row x14ac:dyDescent="0.25" r="42" customHeight="1" ht="18.75">
      <c r="A42" s="6" t="s">
        <v>145</v>
      </c>
      <c r="B42" s="6" t="s">
        <v>34</v>
      </c>
      <c r="C42" s="7" t="s">
        <v>146</v>
      </c>
      <c r="D42" s="8" t="s">
        <v>147</v>
      </c>
      <c r="E42" s="8"/>
      <c r="F42" s="9" t="s">
        <v>81</v>
      </c>
      <c r="G42" s="7"/>
      <c r="H42" s="8" t="s">
        <v>148</v>
      </c>
      <c r="I42" s="7" t="s">
        <v>17</v>
      </c>
      <c r="J42" s="10"/>
      <c r="K42" s="3"/>
      <c r="L42" s="3"/>
    </row>
    <row x14ac:dyDescent="0.25" r="43" customHeight="1" ht="18.75">
      <c r="A43" s="6" t="s">
        <v>149</v>
      </c>
      <c r="B43" s="6" t="s">
        <v>34</v>
      </c>
      <c r="C43" s="7" t="s">
        <v>150</v>
      </c>
      <c r="D43" s="8" t="s">
        <v>151</v>
      </c>
      <c r="E43" s="8"/>
      <c r="F43" s="9" t="s">
        <v>81</v>
      </c>
      <c r="G43" s="7"/>
      <c r="H43" s="8" t="s">
        <v>152</v>
      </c>
      <c r="I43" s="7" t="s">
        <v>32</v>
      </c>
      <c r="J43" s="10"/>
      <c r="K43" s="3"/>
      <c r="L43" s="3"/>
    </row>
    <row x14ac:dyDescent="0.25" r="44" customHeight="1" ht="18.75">
      <c r="A44" s="6" t="s">
        <v>153</v>
      </c>
      <c r="B44" s="6" t="s">
        <v>154</v>
      </c>
      <c r="C44" s="11"/>
      <c r="D44" s="8" t="s">
        <v>155</v>
      </c>
      <c r="E44" s="8"/>
      <c r="F44" s="9" t="s">
        <v>156</v>
      </c>
      <c r="G44" s="7"/>
      <c r="H44" s="8"/>
      <c r="I44" s="7" t="s">
        <v>32</v>
      </c>
      <c r="J44" s="10"/>
      <c r="K44" s="3"/>
      <c r="L44" s="3"/>
    </row>
    <row x14ac:dyDescent="0.25" r="45" customHeight="1" ht="18.75">
      <c r="A45" s="6" t="s">
        <v>157</v>
      </c>
      <c r="B45" s="6" t="s">
        <v>23</v>
      </c>
      <c r="C45" s="7" t="s">
        <v>158</v>
      </c>
      <c r="D45" s="8" t="s">
        <v>159</v>
      </c>
      <c r="E45" s="8"/>
      <c r="F45" s="9" t="s">
        <v>156</v>
      </c>
      <c r="G45" s="7"/>
      <c r="H45" s="8"/>
      <c r="I45" s="7" t="s">
        <v>32</v>
      </c>
      <c r="J45" s="10"/>
      <c r="K45" s="3"/>
      <c r="L45" s="3"/>
    </row>
    <row x14ac:dyDescent="0.25" r="46" customHeight="1" ht="18.75">
      <c r="A46" s="6" t="s">
        <v>160</v>
      </c>
      <c r="B46" s="6" t="s">
        <v>34</v>
      </c>
      <c r="C46" s="7" t="s">
        <v>161</v>
      </c>
      <c r="D46" s="8" t="s">
        <v>162</v>
      </c>
      <c r="E46" s="8"/>
      <c r="F46" s="9" t="s">
        <v>156</v>
      </c>
      <c r="G46" s="7"/>
      <c r="H46" s="8"/>
      <c r="I46" s="7" t="s">
        <v>32</v>
      </c>
      <c r="J46" s="10"/>
      <c r="K46" s="3"/>
      <c r="L46" s="3"/>
    </row>
    <row x14ac:dyDescent="0.25" r="47" customHeight="1" ht="18.75">
      <c r="A47" s="6" t="s">
        <v>163</v>
      </c>
      <c r="B47" s="6" t="s">
        <v>34</v>
      </c>
      <c r="C47" s="7" t="s">
        <v>164</v>
      </c>
      <c r="D47" s="8" t="s">
        <v>165</v>
      </c>
      <c r="E47" s="8"/>
      <c r="F47" s="9" t="s">
        <v>156</v>
      </c>
      <c r="G47" s="7"/>
      <c r="H47" s="8"/>
      <c r="I47" s="7" t="s">
        <v>32</v>
      </c>
      <c r="J47" s="10"/>
      <c r="K47" s="3"/>
      <c r="L47" s="3"/>
    </row>
    <row x14ac:dyDescent="0.25" r="48" customHeight="1" ht="18.75">
      <c r="A48" s="6" t="s">
        <v>166</v>
      </c>
      <c r="B48" s="6" t="s">
        <v>34</v>
      </c>
      <c r="C48" s="11"/>
      <c r="D48" s="8" t="s">
        <v>167</v>
      </c>
      <c r="E48" s="8"/>
      <c r="F48" s="9" t="s">
        <v>156</v>
      </c>
      <c r="G48" s="7"/>
      <c r="H48" s="8"/>
      <c r="I48" s="7" t="s">
        <v>32</v>
      </c>
      <c r="J48" s="10"/>
      <c r="K48" s="3"/>
      <c r="L48" s="3"/>
    </row>
    <row x14ac:dyDescent="0.25" r="49" customHeight="1" ht="18.75">
      <c r="A49" s="6" t="s">
        <v>168</v>
      </c>
      <c r="B49" s="6" t="s">
        <v>169</v>
      </c>
      <c r="C49" s="7" t="s">
        <v>170</v>
      </c>
      <c r="D49" s="8" t="s">
        <v>171</v>
      </c>
      <c r="E49" s="8"/>
      <c r="F49" s="9" t="s">
        <v>15</v>
      </c>
      <c r="G49" s="7"/>
      <c r="H49" s="8" t="s">
        <v>172</v>
      </c>
      <c r="I49" s="7" t="s">
        <v>17</v>
      </c>
      <c r="J49" s="10"/>
      <c r="K49" s="3"/>
      <c r="L49" s="3"/>
    </row>
    <row x14ac:dyDescent="0.25" r="50" customHeight="1" ht="18.75">
      <c r="A50" s="6" t="s">
        <v>173</v>
      </c>
      <c r="B50" s="6" t="s">
        <v>49</v>
      </c>
      <c r="C50" s="11"/>
      <c r="D50" s="8" t="s">
        <v>174</v>
      </c>
      <c r="E50" s="8"/>
      <c r="F50" s="9" t="s">
        <v>15</v>
      </c>
      <c r="G50" s="7"/>
      <c r="H50" s="8"/>
      <c r="I50" s="7" t="s">
        <v>32</v>
      </c>
      <c r="J50" s="10"/>
      <c r="K50" s="3"/>
      <c r="L50" s="3"/>
    </row>
    <row x14ac:dyDescent="0.25" r="51" customHeight="1" ht="18.75">
      <c r="A51" s="6" t="s">
        <v>175</v>
      </c>
      <c r="B51" s="6" t="s">
        <v>12</v>
      </c>
      <c r="C51" s="11"/>
      <c r="D51" s="8" t="s">
        <v>176</v>
      </c>
      <c r="E51" s="8"/>
      <c r="F51" s="9" t="s">
        <v>15</v>
      </c>
      <c r="G51" s="7"/>
      <c r="H51" s="8" t="s">
        <v>177</v>
      </c>
      <c r="I51" s="7" t="s">
        <v>17</v>
      </c>
      <c r="J51" s="10"/>
      <c r="K51" s="3"/>
      <c r="L51" s="3"/>
    </row>
    <row x14ac:dyDescent="0.25" r="52" customHeight="1" ht="18.75">
      <c r="A52" s="6" t="s">
        <v>178</v>
      </c>
      <c r="B52" s="6" t="s">
        <v>34</v>
      </c>
      <c r="C52" s="11"/>
      <c r="D52" s="8" t="s">
        <v>179</v>
      </c>
      <c r="E52" s="8"/>
      <c r="F52" s="9" t="s">
        <v>15</v>
      </c>
      <c r="G52" s="7"/>
      <c r="H52" s="8"/>
      <c r="I52" s="7" t="s">
        <v>32</v>
      </c>
      <c r="J52" s="10"/>
      <c r="K52" s="3"/>
      <c r="L52" s="3"/>
    </row>
    <row x14ac:dyDescent="0.25" r="53" customHeight="1" ht="18.75">
      <c r="A53" s="6" t="s">
        <v>180</v>
      </c>
      <c r="B53" s="6" t="s">
        <v>58</v>
      </c>
      <c r="C53" s="11"/>
      <c r="D53" s="8" t="s">
        <v>181</v>
      </c>
      <c r="E53" s="8"/>
      <c r="F53" s="9" t="s">
        <v>15</v>
      </c>
      <c r="G53" s="7"/>
      <c r="H53" s="8" t="s">
        <v>182</v>
      </c>
      <c r="I53" s="7" t="s">
        <v>32</v>
      </c>
      <c r="J53" s="10"/>
      <c r="K53" s="3"/>
      <c r="L53" s="3"/>
    </row>
    <row x14ac:dyDescent="0.25" r="54" customHeight="1" ht="18.75">
      <c r="A54" s="6" t="s">
        <v>183</v>
      </c>
      <c r="B54" s="6" t="s">
        <v>58</v>
      </c>
      <c r="C54" s="7" t="s">
        <v>184</v>
      </c>
      <c r="D54" s="8" t="s">
        <v>185</v>
      </c>
      <c r="E54" s="8"/>
      <c r="F54" s="9" t="s">
        <v>15</v>
      </c>
      <c r="G54" s="7"/>
      <c r="H54" s="8"/>
      <c r="I54" s="7" t="s">
        <v>32</v>
      </c>
      <c r="J54" s="10"/>
      <c r="K54" s="3"/>
      <c r="L54" s="3"/>
    </row>
    <row x14ac:dyDescent="0.25" r="55" customHeight="1" ht="18.75">
      <c r="A55" s="6" t="s">
        <v>186</v>
      </c>
      <c r="B55" s="6" t="s">
        <v>34</v>
      </c>
      <c r="C55" s="7" t="s">
        <v>187</v>
      </c>
      <c r="D55" s="8" t="s">
        <v>188</v>
      </c>
      <c r="E55" s="8"/>
      <c r="F55" s="9" t="s">
        <v>15</v>
      </c>
      <c r="G55" s="7"/>
      <c r="H55" s="8"/>
      <c r="I55" s="7" t="s">
        <v>32</v>
      </c>
      <c r="J55" s="10"/>
      <c r="K55" s="3"/>
      <c r="L55" s="3"/>
    </row>
    <row x14ac:dyDescent="0.25" r="56" customHeight="1" ht="18.75">
      <c r="A56" s="6" t="s">
        <v>189</v>
      </c>
      <c r="B56" s="6" t="s">
        <v>34</v>
      </c>
      <c r="C56" s="7" t="s">
        <v>190</v>
      </c>
      <c r="D56" s="8" t="s">
        <v>191</v>
      </c>
      <c r="E56" s="8"/>
      <c r="F56" s="9" t="s">
        <v>15</v>
      </c>
      <c r="G56" s="7"/>
      <c r="H56" s="8" t="s">
        <v>192</v>
      </c>
      <c r="I56" s="7" t="s">
        <v>32</v>
      </c>
      <c r="J56" s="10"/>
      <c r="K56" s="3"/>
      <c r="L56" s="3"/>
    </row>
    <row x14ac:dyDescent="0.25" r="57" customHeight="1" ht="18.75">
      <c r="A57" s="6" t="s">
        <v>193</v>
      </c>
      <c r="B57" s="6" t="s">
        <v>23</v>
      </c>
      <c r="C57" s="7" t="s">
        <v>194</v>
      </c>
      <c r="D57" s="8" t="s">
        <v>195</v>
      </c>
      <c r="E57" s="8"/>
      <c r="F57" s="9" t="s">
        <v>15</v>
      </c>
      <c r="G57" s="7"/>
      <c r="H57" s="8" t="s">
        <v>196</v>
      </c>
      <c r="I57" s="7" t="s">
        <v>32</v>
      </c>
      <c r="J57" s="10"/>
      <c r="K57" s="3"/>
      <c r="L57" s="3"/>
    </row>
    <row x14ac:dyDescent="0.25" r="58" customHeight="1" ht="18.75">
      <c r="A58" s="6" t="s">
        <v>197</v>
      </c>
      <c r="B58" s="6" t="s">
        <v>58</v>
      </c>
      <c r="C58" s="11"/>
      <c r="D58" s="8" t="s">
        <v>198</v>
      </c>
      <c r="E58" s="8"/>
      <c r="F58" s="9" t="s">
        <v>15</v>
      </c>
      <c r="G58" s="7"/>
      <c r="H58" s="8"/>
      <c r="I58" s="7" t="s">
        <v>32</v>
      </c>
      <c r="J58" s="10"/>
      <c r="K58" s="3"/>
      <c r="L58" s="3"/>
    </row>
    <row x14ac:dyDescent="0.25" r="59" customHeight="1" ht="18.75">
      <c r="A59" s="6" t="s">
        <v>199</v>
      </c>
      <c r="B59" s="6" t="s">
        <v>12</v>
      </c>
      <c r="C59" s="11"/>
      <c r="D59" s="8" t="s">
        <v>200</v>
      </c>
      <c r="E59" s="8"/>
      <c r="F59" s="9" t="s">
        <v>15</v>
      </c>
      <c r="G59" s="7"/>
      <c r="H59" s="8" t="s">
        <v>201</v>
      </c>
      <c r="I59" s="7" t="s">
        <v>32</v>
      </c>
      <c r="J59" s="10"/>
      <c r="K59" s="3"/>
      <c r="L59" s="3"/>
    </row>
    <row x14ac:dyDescent="0.25" r="60" customHeight="1" ht="18.75">
      <c r="A60" s="6" t="s">
        <v>202</v>
      </c>
      <c r="B60" s="6" t="s">
        <v>12</v>
      </c>
      <c r="C60" s="11"/>
      <c r="D60" s="8" t="s">
        <v>203</v>
      </c>
      <c r="E60" s="8"/>
      <c r="F60" s="9" t="s">
        <v>15</v>
      </c>
      <c r="G60" s="7"/>
      <c r="H60" s="8" t="s">
        <v>204</v>
      </c>
      <c r="I60" s="7" t="s">
        <v>32</v>
      </c>
      <c r="J60" s="10"/>
      <c r="K60" s="3"/>
      <c r="L60" s="3"/>
    </row>
    <row x14ac:dyDescent="0.25" r="61" customHeight="1" ht="18.75">
      <c r="A61" s="6" t="s">
        <v>205</v>
      </c>
      <c r="B61" s="6" t="s">
        <v>58</v>
      </c>
      <c r="C61" s="11"/>
      <c r="D61" s="8" t="s">
        <v>206</v>
      </c>
      <c r="E61" s="8"/>
      <c r="F61" s="9" t="s">
        <v>15</v>
      </c>
      <c r="G61" s="7"/>
      <c r="H61" s="8" t="s">
        <v>207</v>
      </c>
      <c r="I61" s="7" t="s">
        <v>32</v>
      </c>
      <c r="J61" s="10"/>
      <c r="K61" s="3"/>
      <c r="L61" s="3"/>
    </row>
    <row x14ac:dyDescent="0.25" r="62" customHeight="1" ht="18.75">
      <c r="A62" s="6" t="s">
        <v>208</v>
      </c>
      <c r="B62" s="6" t="s">
        <v>49</v>
      </c>
      <c r="C62" s="11"/>
      <c r="D62" s="8" t="s">
        <v>209</v>
      </c>
      <c r="E62" s="8"/>
      <c r="F62" s="9" t="s">
        <v>15</v>
      </c>
      <c r="G62" s="7"/>
      <c r="H62" s="8" t="s">
        <v>210</v>
      </c>
      <c r="I62" s="7" t="s">
        <v>32</v>
      </c>
      <c r="J62" s="10"/>
      <c r="K62" s="3"/>
      <c r="L62" s="3"/>
    </row>
    <row x14ac:dyDescent="0.25" r="63" customHeight="1" ht="18.75">
      <c r="A63" s="6" t="s">
        <v>211</v>
      </c>
      <c r="B63" s="6" t="s">
        <v>212</v>
      </c>
      <c r="C63" s="11"/>
      <c r="D63" s="8" t="s">
        <v>213</v>
      </c>
      <c r="E63" s="8"/>
      <c r="F63" s="9" t="s">
        <v>15</v>
      </c>
      <c r="G63" s="7"/>
      <c r="H63" s="8" t="s">
        <v>214</v>
      </c>
      <c r="I63" s="7" t="s">
        <v>32</v>
      </c>
      <c r="J63" s="10"/>
      <c r="K63" s="3"/>
      <c r="L63" s="3"/>
    </row>
    <row x14ac:dyDescent="0.25" r="64" customHeight="1" ht="18.75">
      <c r="A64" s="6" t="s">
        <v>215</v>
      </c>
      <c r="B64" s="6" t="s">
        <v>12</v>
      </c>
      <c r="C64" s="7" t="s">
        <v>216</v>
      </c>
      <c r="D64" s="8" t="s">
        <v>217</v>
      </c>
      <c r="E64" s="8"/>
      <c r="F64" s="9" t="s">
        <v>15</v>
      </c>
      <c r="G64" s="7"/>
      <c r="H64" s="8" t="s">
        <v>218</v>
      </c>
      <c r="I64" s="7" t="s">
        <v>32</v>
      </c>
      <c r="J64" s="10"/>
      <c r="K64" s="3"/>
      <c r="L64" s="3"/>
    </row>
    <row x14ac:dyDescent="0.25" r="65" customHeight="1" ht="18.75">
      <c r="A65" s="6" t="s">
        <v>219</v>
      </c>
      <c r="B65" s="6" t="s">
        <v>34</v>
      </c>
      <c r="C65" s="11"/>
      <c r="D65" s="8" t="s">
        <v>220</v>
      </c>
      <c r="E65" s="8"/>
      <c r="F65" s="9" t="s">
        <v>15</v>
      </c>
      <c r="G65" s="7"/>
      <c r="H65" s="8" t="s">
        <v>221</v>
      </c>
      <c r="I65" s="7" t="s">
        <v>17</v>
      </c>
      <c r="J65" s="10"/>
      <c r="K65" s="3"/>
      <c r="L65" s="3"/>
    </row>
    <row x14ac:dyDescent="0.25" r="66" customHeight="1" ht="18.75">
      <c r="A66" s="6" t="s">
        <v>222</v>
      </c>
      <c r="B66" s="6" t="s">
        <v>34</v>
      </c>
      <c r="C66" s="7" t="s">
        <v>223</v>
      </c>
      <c r="D66" s="8" t="s">
        <v>224</v>
      </c>
      <c r="E66" s="8"/>
      <c r="F66" s="9" t="s">
        <v>15</v>
      </c>
      <c r="G66" s="7"/>
      <c r="H66" s="8"/>
      <c r="I66" s="7" t="s">
        <v>32</v>
      </c>
      <c r="J66" s="10"/>
      <c r="K66" s="3"/>
      <c r="L66" s="3"/>
    </row>
    <row x14ac:dyDescent="0.25" r="67" customHeight="1" ht="18.75">
      <c r="A67" s="6" t="s">
        <v>225</v>
      </c>
      <c r="B67" s="6" t="s">
        <v>58</v>
      </c>
      <c r="C67" s="7" t="s">
        <v>226</v>
      </c>
      <c r="D67" s="8" t="s">
        <v>227</v>
      </c>
      <c r="E67" s="8"/>
      <c r="F67" s="9" t="s">
        <v>228</v>
      </c>
      <c r="G67" s="7"/>
      <c r="H67" s="8"/>
      <c r="I67" s="7" t="s">
        <v>32</v>
      </c>
      <c r="J67" s="10"/>
      <c r="K67" s="3"/>
      <c r="L67" s="3"/>
    </row>
    <row x14ac:dyDescent="0.25" r="68" customHeight="1" ht="18.75">
      <c r="A68" s="6" t="s">
        <v>229</v>
      </c>
      <c r="B68" s="6" t="s">
        <v>230</v>
      </c>
      <c r="C68" s="7" t="s">
        <v>231</v>
      </c>
      <c r="D68" s="8" t="s">
        <v>232</v>
      </c>
      <c r="E68" s="8"/>
      <c r="F68" s="9" t="s">
        <v>15</v>
      </c>
      <c r="G68" s="7"/>
      <c r="H68" s="8"/>
      <c r="I68" s="7" t="s">
        <v>32</v>
      </c>
      <c r="J68" s="10"/>
      <c r="K68" s="3"/>
      <c r="L68" s="3"/>
    </row>
    <row x14ac:dyDescent="0.25" r="69" customHeight="1" ht="18.75">
      <c r="A69" s="6" t="s">
        <v>233</v>
      </c>
      <c r="B69" s="6" t="s">
        <v>230</v>
      </c>
      <c r="C69" s="7" t="s">
        <v>234</v>
      </c>
      <c r="D69" s="8" t="s">
        <v>235</v>
      </c>
      <c r="E69" s="8"/>
      <c r="F69" s="9" t="s">
        <v>15</v>
      </c>
      <c r="G69" s="7"/>
      <c r="H69" s="8"/>
      <c r="I69" s="7" t="s">
        <v>32</v>
      </c>
      <c r="J69" s="10"/>
      <c r="K69" s="3"/>
      <c r="L69" s="3"/>
    </row>
    <row x14ac:dyDescent="0.25" r="70" customHeight="1" ht="18.75">
      <c r="A70" s="6" t="s">
        <v>236</v>
      </c>
      <c r="B70" s="6" t="s">
        <v>230</v>
      </c>
      <c r="C70" s="7" t="s">
        <v>237</v>
      </c>
      <c r="D70" s="8" t="s">
        <v>238</v>
      </c>
      <c r="E70" s="8"/>
      <c r="F70" s="9" t="s">
        <v>15</v>
      </c>
      <c r="G70" s="7"/>
      <c r="H70" s="8"/>
      <c r="I70" s="7" t="s">
        <v>32</v>
      </c>
      <c r="J70" s="10"/>
      <c r="K70" s="3"/>
      <c r="L70" s="3"/>
    </row>
    <row x14ac:dyDescent="0.25" r="71" customHeight="1" ht="18.75">
      <c r="A71" s="6" t="s">
        <v>239</v>
      </c>
      <c r="B71" s="6" t="s">
        <v>230</v>
      </c>
      <c r="C71" s="7" t="s">
        <v>237</v>
      </c>
      <c r="D71" s="8" t="s">
        <v>240</v>
      </c>
      <c r="E71" s="8"/>
      <c r="F71" s="9" t="s">
        <v>15</v>
      </c>
      <c r="G71" s="7"/>
      <c r="H71" s="8"/>
      <c r="I71" s="7" t="s">
        <v>32</v>
      </c>
      <c r="J71" s="10"/>
      <c r="K71" s="3"/>
      <c r="L71" s="3"/>
    </row>
    <row x14ac:dyDescent="0.25" r="72" customHeight="1" ht="18.75">
      <c r="A72" s="6" t="s">
        <v>241</v>
      </c>
      <c r="B72" s="6" t="s">
        <v>242</v>
      </c>
      <c r="C72" s="7" t="s">
        <v>243</v>
      </c>
      <c r="D72" s="8" t="s">
        <v>244</v>
      </c>
      <c r="E72" s="8"/>
      <c r="F72" s="9" t="s">
        <v>15</v>
      </c>
      <c r="G72" s="7"/>
      <c r="H72" s="8"/>
      <c r="I72" s="7" t="s">
        <v>32</v>
      </c>
      <c r="J72" s="10"/>
      <c r="K72" s="3"/>
      <c r="L72" s="3"/>
    </row>
    <row x14ac:dyDescent="0.25" r="73" customHeight="1" ht="18.75">
      <c r="A73" s="6" t="s">
        <v>245</v>
      </c>
      <c r="B73" s="6" t="s">
        <v>246</v>
      </c>
      <c r="C73" s="7" t="s">
        <v>247</v>
      </c>
      <c r="D73" s="8" t="s">
        <v>248</v>
      </c>
      <c r="E73" s="8"/>
      <c r="F73" s="9" t="s">
        <v>15</v>
      </c>
      <c r="G73" s="7"/>
      <c r="H73" s="8"/>
      <c r="I73" s="7" t="s">
        <v>32</v>
      </c>
      <c r="J73" s="10"/>
      <c r="K73" s="3"/>
      <c r="L73" s="3"/>
    </row>
    <row x14ac:dyDescent="0.25" r="74" customHeight="1" ht="18.75">
      <c r="A74" s="6" t="s">
        <v>249</v>
      </c>
      <c r="B74" s="6" t="s">
        <v>246</v>
      </c>
      <c r="C74" s="7" t="s">
        <v>250</v>
      </c>
      <c r="D74" s="8" t="s">
        <v>251</v>
      </c>
      <c r="E74" s="8"/>
      <c r="F74" s="9" t="s">
        <v>15</v>
      </c>
      <c r="G74" s="7"/>
      <c r="H74" s="8"/>
      <c r="I74" s="7" t="s">
        <v>32</v>
      </c>
      <c r="J74" s="10"/>
      <c r="K74" s="3"/>
      <c r="L74" s="3"/>
    </row>
    <row x14ac:dyDescent="0.25" r="75" customHeight="1" ht="18.75">
      <c r="A75" s="6" t="s">
        <v>252</v>
      </c>
      <c r="B75" s="6" t="s">
        <v>253</v>
      </c>
      <c r="C75" s="7" t="s">
        <v>49</v>
      </c>
      <c r="D75" s="8" t="s">
        <v>254</v>
      </c>
      <c r="E75" s="8"/>
      <c r="F75" s="9" t="s">
        <v>255</v>
      </c>
      <c r="G75" s="7"/>
      <c r="H75" s="8" t="s">
        <v>256</v>
      </c>
      <c r="I75" s="7" t="s">
        <v>32</v>
      </c>
      <c r="J75" s="10"/>
      <c r="K75" s="3"/>
      <c r="L75" s="3"/>
    </row>
    <row x14ac:dyDescent="0.25" r="76" customHeight="1" ht="18.75">
      <c r="A76" s="6" t="s">
        <v>257</v>
      </c>
      <c r="B76" s="6" t="s">
        <v>258</v>
      </c>
      <c r="C76" s="7" t="s">
        <v>58</v>
      </c>
      <c r="D76" s="12" t="s">
        <v>259</v>
      </c>
      <c r="E76" s="8"/>
      <c r="F76" s="9" t="s">
        <v>15</v>
      </c>
      <c r="G76" s="7"/>
      <c r="H76" s="8"/>
      <c r="I76" s="7" t="s">
        <v>32</v>
      </c>
      <c r="J76" s="10"/>
      <c r="K76" s="3"/>
      <c r="L76" s="3"/>
    </row>
    <row x14ac:dyDescent="0.25" r="77" customHeight="1" ht="18.75">
      <c r="A77" s="6" t="s">
        <v>260</v>
      </c>
      <c r="B77" s="6" t="s">
        <v>258</v>
      </c>
      <c r="C77" s="7" t="s">
        <v>58</v>
      </c>
      <c r="D77" s="8" t="s">
        <v>261</v>
      </c>
      <c r="E77" s="8"/>
      <c r="F77" s="9" t="s">
        <v>15</v>
      </c>
      <c r="G77" s="7"/>
      <c r="H77" s="8"/>
      <c r="I77" s="7" t="s">
        <v>32</v>
      </c>
      <c r="J77" s="10"/>
      <c r="K77" s="3"/>
      <c r="L77" s="3"/>
    </row>
    <row x14ac:dyDescent="0.25" r="78" customHeight="1" ht="18.75">
      <c r="A78" s="6" t="s">
        <v>262</v>
      </c>
      <c r="B78" s="6" t="s">
        <v>258</v>
      </c>
      <c r="C78" s="7" t="s">
        <v>58</v>
      </c>
      <c r="D78" s="8" t="s">
        <v>263</v>
      </c>
      <c r="E78" s="8"/>
      <c r="F78" s="9" t="s">
        <v>15</v>
      </c>
      <c r="G78" s="7"/>
      <c r="H78" s="8"/>
      <c r="I78" s="7" t="s">
        <v>32</v>
      </c>
      <c r="J78" s="10"/>
      <c r="K78" s="3"/>
      <c r="L78" s="3"/>
    </row>
    <row x14ac:dyDescent="0.25" r="79" customHeight="1" ht="18.75">
      <c r="A79" s="6" t="s">
        <v>264</v>
      </c>
      <c r="B79" s="6" t="s">
        <v>265</v>
      </c>
      <c r="C79" s="7" t="s">
        <v>58</v>
      </c>
      <c r="D79" s="8" t="s">
        <v>266</v>
      </c>
      <c r="E79" s="8"/>
      <c r="F79" s="9" t="s">
        <v>15</v>
      </c>
      <c r="G79" s="7"/>
      <c r="H79" s="8" t="s">
        <v>267</v>
      </c>
      <c r="I79" s="7" t="s">
        <v>32</v>
      </c>
      <c r="J79" s="10"/>
      <c r="K79" s="3"/>
      <c r="L79" s="3"/>
    </row>
    <row x14ac:dyDescent="0.25" r="80" customHeight="1" ht="18.75">
      <c r="A80" s="6" t="s">
        <v>268</v>
      </c>
      <c r="B80" s="6" t="s">
        <v>265</v>
      </c>
      <c r="C80" s="7" t="s">
        <v>23</v>
      </c>
      <c r="D80" s="8" t="s">
        <v>269</v>
      </c>
      <c r="E80" s="8"/>
      <c r="F80" s="9" t="s">
        <v>15</v>
      </c>
      <c r="G80" s="7"/>
      <c r="H80" s="8" t="s">
        <v>270</v>
      </c>
      <c r="I80" s="7" t="s">
        <v>17</v>
      </c>
      <c r="J80" s="10"/>
      <c r="K80" s="3"/>
      <c r="L80" s="3"/>
    </row>
    <row x14ac:dyDescent="0.25" r="81" customHeight="1" ht="18.75">
      <c r="A81" s="6" t="s">
        <v>271</v>
      </c>
      <c r="B81" s="6" t="s">
        <v>265</v>
      </c>
      <c r="C81" s="7" t="s">
        <v>58</v>
      </c>
      <c r="D81" s="8" t="s">
        <v>272</v>
      </c>
      <c r="E81" s="8"/>
      <c r="F81" s="9" t="s">
        <v>15</v>
      </c>
      <c r="G81" s="7"/>
      <c r="H81" s="8" t="s">
        <v>273</v>
      </c>
      <c r="I81" s="7" t="s">
        <v>32</v>
      </c>
      <c r="J81" s="10"/>
      <c r="K81" s="3"/>
      <c r="L81" s="3"/>
    </row>
    <row x14ac:dyDescent="0.25" r="82" customHeight="1" ht="18.75">
      <c r="A82" s="6" t="s">
        <v>274</v>
      </c>
      <c r="B82" s="6" t="s">
        <v>265</v>
      </c>
      <c r="C82" s="7" t="s">
        <v>58</v>
      </c>
      <c r="D82" s="8" t="s">
        <v>275</v>
      </c>
      <c r="E82" s="8"/>
      <c r="F82" s="9" t="s">
        <v>15</v>
      </c>
      <c r="G82" s="7"/>
      <c r="H82" s="8" t="s">
        <v>270</v>
      </c>
      <c r="I82" s="7" t="s">
        <v>17</v>
      </c>
      <c r="J82" s="10"/>
      <c r="K82" s="3"/>
      <c r="L82" s="3"/>
    </row>
    <row x14ac:dyDescent="0.25" r="83" customHeight="1" ht="18.75">
      <c r="A83" s="6" t="s">
        <v>276</v>
      </c>
      <c r="B83" s="6" t="s">
        <v>265</v>
      </c>
      <c r="C83" s="7" t="s">
        <v>277</v>
      </c>
      <c r="D83" s="8" t="s">
        <v>278</v>
      </c>
      <c r="E83" s="8"/>
      <c r="F83" s="9" t="s">
        <v>15</v>
      </c>
      <c r="G83" s="7"/>
      <c r="H83" s="8"/>
      <c r="I83" s="7" t="s">
        <v>32</v>
      </c>
      <c r="J83" s="10"/>
      <c r="K83" s="3"/>
      <c r="L83" s="3"/>
    </row>
    <row x14ac:dyDescent="0.25" r="84" customHeight="1" ht="18.75">
      <c r="A84" s="6" t="s">
        <v>279</v>
      </c>
      <c r="B84" s="6" t="s">
        <v>265</v>
      </c>
      <c r="C84" s="11"/>
      <c r="D84" s="8" t="s">
        <v>280</v>
      </c>
      <c r="E84" s="8"/>
      <c r="F84" s="9" t="s">
        <v>15</v>
      </c>
      <c r="G84" s="7"/>
      <c r="H84" s="8" t="s">
        <v>281</v>
      </c>
      <c r="I84" s="7" t="s">
        <v>17</v>
      </c>
      <c r="J84" s="10"/>
      <c r="K84" s="3"/>
      <c r="L84" s="3"/>
    </row>
    <row x14ac:dyDescent="0.25" r="85" customHeight="1" ht="18.75">
      <c r="A85" s="6" t="s">
        <v>282</v>
      </c>
      <c r="B85" s="6" t="s">
        <v>265</v>
      </c>
      <c r="C85" s="7" t="s">
        <v>34</v>
      </c>
      <c r="D85" s="8" t="s">
        <v>283</v>
      </c>
      <c r="E85" s="8"/>
      <c r="F85" s="9" t="s">
        <v>15</v>
      </c>
      <c r="G85" s="7"/>
      <c r="H85" s="8"/>
      <c r="I85" s="7" t="s">
        <v>32</v>
      </c>
      <c r="J85" s="10"/>
      <c r="K85" s="3"/>
      <c r="L85" s="3"/>
    </row>
    <row x14ac:dyDescent="0.25" r="86" customHeight="1" ht="18.75">
      <c r="A86" s="6" t="s">
        <v>284</v>
      </c>
      <c r="B86" s="6" t="s">
        <v>265</v>
      </c>
      <c r="C86" s="7" t="s">
        <v>12</v>
      </c>
      <c r="D86" s="8" t="s">
        <v>285</v>
      </c>
      <c r="E86" s="8"/>
      <c r="F86" s="9" t="s">
        <v>15</v>
      </c>
      <c r="G86" s="7"/>
      <c r="H86" s="8"/>
      <c r="I86" s="7" t="s">
        <v>32</v>
      </c>
      <c r="J86" s="10"/>
      <c r="K86" s="3"/>
      <c r="L86" s="3"/>
    </row>
    <row x14ac:dyDescent="0.25" r="87" customHeight="1" ht="18.75">
      <c r="A87" s="6" t="s">
        <v>286</v>
      </c>
      <c r="B87" s="6" t="s">
        <v>265</v>
      </c>
      <c r="C87" s="7" t="s">
        <v>12</v>
      </c>
      <c r="D87" s="12" t="s">
        <v>287</v>
      </c>
      <c r="E87" s="8"/>
      <c r="F87" s="9" t="s">
        <v>288</v>
      </c>
      <c r="G87" s="7"/>
      <c r="H87" s="8" t="s">
        <v>289</v>
      </c>
      <c r="I87" s="7" t="s">
        <v>17</v>
      </c>
      <c r="J87" s="10"/>
      <c r="K87" s="3"/>
      <c r="L87" s="3"/>
    </row>
    <row x14ac:dyDescent="0.25" r="88" customHeight="1" ht="18.75">
      <c r="A88" s="6" t="s">
        <v>290</v>
      </c>
      <c r="B88" s="6" t="s">
        <v>265</v>
      </c>
      <c r="C88" s="7" t="s">
        <v>212</v>
      </c>
      <c r="D88" s="8" t="s">
        <v>291</v>
      </c>
      <c r="E88" s="8"/>
      <c r="F88" s="9" t="s">
        <v>292</v>
      </c>
      <c r="G88" s="7"/>
      <c r="H88" s="8" t="s">
        <v>293</v>
      </c>
      <c r="I88" s="7" t="s">
        <v>17</v>
      </c>
      <c r="J88" s="10"/>
      <c r="K88" s="3"/>
      <c r="L88" s="3"/>
    </row>
    <row x14ac:dyDescent="0.25" r="89" customHeight="1" ht="18.75">
      <c r="A89" s="6" t="s">
        <v>294</v>
      </c>
      <c r="B89" s="6" t="s">
        <v>265</v>
      </c>
      <c r="C89" s="7" t="s">
        <v>212</v>
      </c>
      <c r="D89" s="8" t="s">
        <v>295</v>
      </c>
      <c r="E89" s="8"/>
      <c r="F89" s="9" t="s">
        <v>292</v>
      </c>
      <c r="G89" s="7"/>
      <c r="H89" s="8" t="s">
        <v>296</v>
      </c>
      <c r="I89" s="7" t="s">
        <v>17</v>
      </c>
      <c r="J89" s="10"/>
      <c r="K89" s="3"/>
      <c r="L89" s="3"/>
    </row>
    <row x14ac:dyDescent="0.25" r="90" customHeight="1" ht="18.75">
      <c r="A90" s="6" t="s">
        <v>297</v>
      </c>
      <c r="B90" s="6" t="s">
        <v>265</v>
      </c>
      <c r="C90" s="7" t="s">
        <v>212</v>
      </c>
      <c r="D90" s="8" t="s">
        <v>298</v>
      </c>
      <c r="E90" s="8"/>
      <c r="F90" s="9" t="s">
        <v>292</v>
      </c>
      <c r="G90" s="7"/>
      <c r="H90" s="8"/>
      <c r="I90" s="7" t="s">
        <v>32</v>
      </c>
      <c r="J90" s="10"/>
      <c r="K90" s="3"/>
      <c r="L90" s="3"/>
    </row>
    <row x14ac:dyDescent="0.25" r="91" customHeight="1" ht="18.75">
      <c r="A91" s="6" t="s">
        <v>299</v>
      </c>
      <c r="B91" s="6" t="s">
        <v>265</v>
      </c>
      <c r="C91" s="7" t="s">
        <v>58</v>
      </c>
      <c r="D91" s="8" t="s">
        <v>300</v>
      </c>
      <c r="E91" s="8"/>
      <c r="F91" s="9" t="s">
        <v>292</v>
      </c>
      <c r="G91" s="7"/>
      <c r="H91" s="8" t="s">
        <v>301</v>
      </c>
      <c r="I91" s="7" t="s">
        <v>17</v>
      </c>
      <c r="J91" s="10"/>
      <c r="K91" s="3"/>
      <c r="L91" s="3"/>
    </row>
    <row x14ac:dyDescent="0.25" r="92" customHeight="1" ht="18.75">
      <c r="A92" s="6" t="s">
        <v>302</v>
      </c>
      <c r="B92" s="6" t="s">
        <v>265</v>
      </c>
      <c r="C92" s="7" t="s">
        <v>58</v>
      </c>
      <c r="D92" s="8" t="s">
        <v>303</v>
      </c>
      <c r="E92" s="8"/>
      <c r="F92" s="9" t="s">
        <v>292</v>
      </c>
      <c r="G92" s="7"/>
      <c r="H92" s="8" t="s">
        <v>304</v>
      </c>
      <c r="I92" s="7" t="s">
        <v>17</v>
      </c>
      <c r="J92" s="10"/>
      <c r="K92" s="3"/>
      <c r="L92" s="3"/>
    </row>
    <row x14ac:dyDescent="0.25" r="93" customHeight="1" ht="18.75">
      <c r="A93" s="6" t="s">
        <v>305</v>
      </c>
      <c r="B93" s="6" t="s">
        <v>265</v>
      </c>
      <c r="C93" s="7" t="s">
        <v>12</v>
      </c>
      <c r="D93" s="8" t="s">
        <v>306</v>
      </c>
      <c r="E93" s="8"/>
      <c r="F93" s="9" t="s">
        <v>292</v>
      </c>
      <c r="G93" s="7"/>
      <c r="H93" s="8" t="s">
        <v>307</v>
      </c>
      <c r="I93" s="7" t="s">
        <v>17</v>
      </c>
      <c r="J93" s="10"/>
      <c r="K93" s="3"/>
      <c r="L93" s="3"/>
    </row>
    <row x14ac:dyDescent="0.25" r="94" customHeight="1" ht="18.75">
      <c r="A94" s="6" t="s">
        <v>308</v>
      </c>
      <c r="B94" s="6" t="s">
        <v>265</v>
      </c>
      <c r="C94" s="7" t="s">
        <v>309</v>
      </c>
      <c r="D94" s="8" t="s">
        <v>310</v>
      </c>
      <c r="E94" s="8"/>
      <c r="F94" s="9" t="s">
        <v>15</v>
      </c>
      <c r="G94" s="7"/>
      <c r="H94" s="8" t="s">
        <v>311</v>
      </c>
      <c r="I94" s="7" t="s">
        <v>32</v>
      </c>
      <c r="J94" s="10"/>
      <c r="K94" s="3"/>
      <c r="L94" s="3"/>
    </row>
    <row x14ac:dyDescent="0.25" r="95" customHeight="1" ht="18.75">
      <c r="A95" s="6" t="s">
        <v>312</v>
      </c>
      <c r="B95" s="6" t="s">
        <v>265</v>
      </c>
      <c r="C95" s="7" t="s">
        <v>313</v>
      </c>
      <c r="D95" s="8" t="s">
        <v>314</v>
      </c>
      <c r="E95" s="8"/>
      <c r="F95" s="9" t="s">
        <v>15</v>
      </c>
      <c r="G95" s="7"/>
      <c r="H95" s="8" t="s">
        <v>315</v>
      </c>
      <c r="I95" s="7" t="s">
        <v>21</v>
      </c>
      <c r="J95" s="10"/>
      <c r="K95" s="3"/>
      <c r="L95" s="3"/>
    </row>
    <row x14ac:dyDescent="0.25" r="96" customHeight="1" ht="18.75">
      <c r="A96" s="6" t="s">
        <v>316</v>
      </c>
      <c r="B96" s="6" t="s">
        <v>265</v>
      </c>
      <c r="C96" s="7" t="s">
        <v>58</v>
      </c>
      <c r="D96" s="8" t="s">
        <v>317</v>
      </c>
      <c r="E96" s="8"/>
      <c r="F96" s="9" t="s">
        <v>318</v>
      </c>
      <c r="G96" s="7"/>
      <c r="H96" s="8"/>
      <c r="I96" s="7" t="s">
        <v>32</v>
      </c>
      <c r="J96" s="10"/>
      <c r="K96" s="3"/>
      <c r="L96" s="3"/>
    </row>
    <row x14ac:dyDescent="0.25" r="97" customHeight="1" ht="18.75">
      <c r="A97" s="6" t="s">
        <v>319</v>
      </c>
      <c r="B97" s="6" t="s">
        <v>265</v>
      </c>
      <c r="C97" s="7" t="s">
        <v>34</v>
      </c>
      <c r="D97" s="8" t="s">
        <v>320</v>
      </c>
      <c r="E97" s="8"/>
      <c r="F97" s="9" t="s">
        <v>318</v>
      </c>
      <c r="G97" s="7"/>
      <c r="H97" s="8" t="s">
        <v>321</v>
      </c>
      <c r="I97" s="7" t="s">
        <v>17</v>
      </c>
      <c r="J97" s="10"/>
      <c r="K97" s="3"/>
      <c r="L97" s="3"/>
    </row>
    <row x14ac:dyDescent="0.25" r="98" customHeight="1" ht="18.75">
      <c r="A98" s="6" t="s">
        <v>322</v>
      </c>
      <c r="B98" s="6" t="s">
        <v>265</v>
      </c>
      <c r="C98" s="11"/>
      <c r="D98" s="12" t="s">
        <v>323</v>
      </c>
      <c r="E98" s="8"/>
      <c r="F98" s="9" t="s">
        <v>324</v>
      </c>
      <c r="G98" s="7"/>
      <c r="H98" s="8" t="s">
        <v>325</v>
      </c>
      <c r="I98" s="7" t="s">
        <v>17</v>
      </c>
      <c r="J98" s="10"/>
      <c r="K98" s="3"/>
      <c r="L98" s="3"/>
    </row>
    <row x14ac:dyDescent="0.25" r="99" customHeight="1" ht="18.75">
      <c r="A99" s="6" t="s">
        <v>326</v>
      </c>
      <c r="B99" s="6" t="s">
        <v>265</v>
      </c>
      <c r="C99" s="11"/>
      <c r="D99" s="12" t="s">
        <v>327</v>
      </c>
      <c r="E99" s="8"/>
      <c r="F99" s="9" t="s">
        <v>328</v>
      </c>
      <c r="G99" s="7"/>
      <c r="H99" s="8" t="s">
        <v>329</v>
      </c>
      <c r="I99" s="7" t="s">
        <v>17</v>
      </c>
      <c r="J99" s="10"/>
      <c r="K99" s="3"/>
      <c r="L99" s="3"/>
    </row>
    <row x14ac:dyDescent="0.25" r="100" customHeight="1" ht="18.75">
      <c r="A100" s="6" t="s">
        <v>330</v>
      </c>
      <c r="B100" s="6" t="s">
        <v>265</v>
      </c>
      <c r="C100" s="7" t="s">
        <v>23</v>
      </c>
      <c r="D100" s="8" t="s">
        <v>331</v>
      </c>
      <c r="E100" s="8"/>
      <c r="F100" s="9" t="s">
        <v>15</v>
      </c>
      <c r="G100" s="7"/>
      <c r="H100" s="8" t="s">
        <v>325</v>
      </c>
      <c r="I100" s="7" t="s">
        <v>17</v>
      </c>
      <c r="J100" s="10"/>
      <c r="K100" s="3"/>
      <c r="L100" s="3"/>
    </row>
    <row x14ac:dyDescent="0.25" r="101" customHeight="1" ht="18.75">
      <c r="A101" s="6" t="s">
        <v>332</v>
      </c>
      <c r="B101" s="6" t="s">
        <v>265</v>
      </c>
      <c r="C101" s="7" t="s">
        <v>23</v>
      </c>
      <c r="D101" s="12" t="s">
        <v>333</v>
      </c>
      <c r="E101" s="8"/>
      <c r="F101" s="9" t="s">
        <v>334</v>
      </c>
      <c r="G101" s="7"/>
      <c r="H101" s="8" t="s">
        <v>335</v>
      </c>
      <c r="I101" s="7" t="s">
        <v>17</v>
      </c>
      <c r="J101" s="10"/>
      <c r="K101" s="3"/>
      <c r="L101" s="3"/>
    </row>
    <row x14ac:dyDescent="0.25" r="102" customHeight="1" ht="18.75">
      <c r="A102" s="6" t="s">
        <v>336</v>
      </c>
      <c r="B102" s="6" t="s">
        <v>265</v>
      </c>
      <c r="C102" s="7" t="s">
        <v>12</v>
      </c>
      <c r="D102" s="8" t="s">
        <v>337</v>
      </c>
      <c r="E102" s="8"/>
      <c r="F102" s="9" t="s">
        <v>338</v>
      </c>
      <c r="G102" s="7" t="s">
        <v>339</v>
      </c>
      <c r="H102" s="8" t="s">
        <v>340</v>
      </c>
      <c r="I102" s="7" t="s">
        <v>32</v>
      </c>
      <c r="J102" s="10"/>
      <c r="K102" s="3"/>
      <c r="L102" s="3"/>
    </row>
    <row x14ac:dyDescent="0.25" r="103" customHeight="1" ht="18.75">
      <c r="A103" s="6" t="s">
        <v>341</v>
      </c>
      <c r="B103" s="6" t="s">
        <v>265</v>
      </c>
      <c r="C103" s="7" t="s">
        <v>12</v>
      </c>
      <c r="D103" s="8" t="s">
        <v>342</v>
      </c>
      <c r="E103" s="8"/>
      <c r="F103" s="9" t="s">
        <v>343</v>
      </c>
      <c r="G103" s="7"/>
      <c r="H103" s="8" t="s">
        <v>344</v>
      </c>
      <c r="I103" s="7" t="s">
        <v>61</v>
      </c>
      <c r="J103" s="10"/>
      <c r="K103" s="3"/>
      <c r="L103" s="3"/>
    </row>
    <row x14ac:dyDescent="0.25" r="104" customHeight="1" ht="18.75">
      <c r="A104" s="6" t="s">
        <v>345</v>
      </c>
      <c r="B104" s="6" t="s">
        <v>265</v>
      </c>
      <c r="C104" s="7" t="s">
        <v>23</v>
      </c>
      <c r="D104" s="8" t="s">
        <v>346</v>
      </c>
      <c r="E104" s="8"/>
      <c r="F104" s="9" t="s">
        <v>343</v>
      </c>
      <c r="G104" s="7"/>
      <c r="H104" s="8" t="s">
        <v>347</v>
      </c>
      <c r="I104" s="7" t="s">
        <v>32</v>
      </c>
      <c r="J104" s="10"/>
      <c r="K104" s="3"/>
      <c r="L104" s="3"/>
    </row>
    <row x14ac:dyDescent="0.25" r="105" customHeight="1" ht="18.75">
      <c r="A105" s="6" t="s">
        <v>348</v>
      </c>
      <c r="B105" s="6" t="s">
        <v>265</v>
      </c>
      <c r="C105" s="7" t="s">
        <v>34</v>
      </c>
      <c r="D105" s="8" t="s">
        <v>349</v>
      </c>
      <c r="E105" s="8"/>
      <c r="F105" s="9" t="s">
        <v>350</v>
      </c>
      <c r="G105" s="7"/>
      <c r="H105" s="8" t="s">
        <v>351</v>
      </c>
      <c r="I105" s="7" t="s">
        <v>32</v>
      </c>
      <c r="J105" s="10"/>
      <c r="K105" s="3"/>
      <c r="L105" s="3"/>
    </row>
    <row x14ac:dyDescent="0.25" r="106" customHeight="1" ht="18.75">
      <c r="A106" s="6" t="s">
        <v>352</v>
      </c>
      <c r="B106" s="6" t="s">
        <v>265</v>
      </c>
      <c r="C106" s="7" t="s">
        <v>353</v>
      </c>
      <c r="D106" s="8" t="s">
        <v>354</v>
      </c>
      <c r="E106" s="8"/>
      <c r="F106" s="9" t="s">
        <v>355</v>
      </c>
      <c r="G106" s="7"/>
      <c r="H106" s="8" t="s">
        <v>356</v>
      </c>
      <c r="I106" s="7" t="s">
        <v>32</v>
      </c>
      <c r="J106" s="10"/>
      <c r="K106" s="3"/>
      <c r="L106" s="3"/>
    </row>
    <row x14ac:dyDescent="0.25" r="107" customHeight="1" ht="18.75">
      <c r="A107" s="6" t="s">
        <v>357</v>
      </c>
      <c r="B107" s="6" t="s">
        <v>265</v>
      </c>
      <c r="C107" s="11"/>
      <c r="D107" s="8" t="s">
        <v>358</v>
      </c>
      <c r="E107" s="8"/>
      <c r="F107" s="9" t="s">
        <v>359</v>
      </c>
      <c r="G107" s="7"/>
      <c r="H107" s="8" t="s">
        <v>360</v>
      </c>
      <c r="I107" s="7" t="s">
        <v>17</v>
      </c>
      <c r="J107" s="10"/>
      <c r="K107" s="3"/>
      <c r="L107" s="3"/>
    </row>
    <row x14ac:dyDescent="0.25" r="108" customHeight="1" ht="18.75">
      <c r="A108" s="6" t="s">
        <v>361</v>
      </c>
      <c r="B108" s="6" t="s">
        <v>265</v>
      </c>
      <c r="C108" s="11"/>
      <c r="D108" s="8" t="s">
        <v>362</v>
      </c>
      <c r="E108" s="8"/>
      <c r="F108" s="9" t="s">
        <v>359</v>
      </c>
      <c r="G108" s="7"/>
      <c r="H108" s="8" t="s">
        <v>363</v>
      </c>
      <c r="I108" s="7" t="s">
        <v>17</v>
      </c>
      <c r="J108" s="10"/>
      <c r="K108" s="3"/>
      <c r="L108" s="3"/>
    </row>
    <row x14ac:dyDescent="0.25" r="109" customHeight="1" ht="18.75">
      <c r="A109" s="6" t="s">
        <v>364</v>
      </c>
      <c r="B109" s="6" t="s">
        <v>265</v>
      </c>
      <c r="C109" s="11"/>
      <c r="D109" s="8" t="s">
        <v>365</v>
      </c>
      <c r="E109" s="8"/>
      <c r="F109" s="9" t="s">
        <v>359</v>
      </c>
      <c r="G109" s="7"/>
      <c r="H109" s="8" t="s">
        <v>366</v>
      </c>
      <c r="I109" s="7" t="s">
        <v>17</v>
      </c>
      <c r="J109" s="10"/>
      <c r="K109" s="3"/>
      <c r="L109" s="3"/>
    </row>
    <row x14ac:dyDescent="0.25" r="110" customHeight="1" ht="18.75">
      <c r="A110" s="6" t="s">
        <v>367</v>
      </c>
      <c r="B110" s="6" t="s">
        <v>265</v>
      </c>
      <c r="C110" s="11"/>
      <c r="D110" s="8" t="s">
        <v>368</v>
      </c>
      <c r="E110" s="8"/>
      <c r="F110" s="9" t="s">
        <v>359</v>
      </c>
      <c r="G110" s="7"/>
      <c r="H110" s="8" t="s">
        <v>369</v>
      </c>
      <c r="I110" s="7" t="s">
        <v>61</v>
      </c>
      <c r="J110" s="10"/>
      <c r="K110" s="3"/>
      <c r="L110" s="3"/>
    </row>
    <row x14ac:dyDescent="0.25" r="111" customHeight="1" ht="18.75">
      <c r="A111" s="6" t="s">
        <v>370</v>
      </c>
      <c r="B111" s="6" t="s">
        <v>265</v>
      </c>
      <c r="C111" s="11"/>
      <c r="D111" s="8" t="s">
        <v>371</v>
      </c>
      <c r="E111" s="8"/>
      <c r="F111" s="9" t="s">
        <v>359</v>
      </c>
      <c r="G111" s="7"/>
      <c r="H111" s="8" t="s">
        <v>372</v>
      </c>
      <c r="I111" s="7" t="s">
        <v>61</v>
      </c>
      <c r="J111" s="10"/>
      <c r="K111" s="3"/>
      <c r="L111" s="3"/>
    </row>
    <row x14ac:dyDescent="0.25" r="112" customHeight="1" ht="18.75">
      <c r="A112" s="6" t="s">
        <v>373</v>
      </c>
      <c r="B112" s="6" t="s">
        <v>265</v>
      </c>
      <c r="C112" s="11"/>
      <c r="D112" s="8" t="s">
        <v>374</v>
      </c>
      <c r="E112" s="8"/>
      <c r="F112" s="9" t="s">
        <v>359</v>
      </c>
      <c r="G112" s="7"/>
      <c r="H112" s="8" t="s">
        <v>375</v>
      </c>
      <c r="I112" s="7" t="s">
        <v>21</v>
      </c>
      <c r="J112" s="10"/>
      <c r="K112" s="3"/>
      <c r="L112" s="3"/>
    </row>
    <row x14ac:dyDescent="0.25" r="113" customHeight="1" ht="18.75">
      <c r="A113" s="6" t="s">
        <v>376</v>
      </c>
      <c r="B113" s="6" t="s">
        <v>265</v>
      </c>
      <c r="C113" s="7" t="s">
        <v>12</v>
      </c>
      <c r="D113" s="8" t="s">
        <v>377</v>
      </c>
      <c r="E113" s="8"/>
      <c r="F113" s="9" t="s">
        <v>378</v>
      </c>
      <c r="G113" s="7"/>
      <c r="H113" s="8" t="s">
        <v>379</v>
      </c>
      <c r="I113" s="7" t="s">
        <v>32</v>
      </c>
      <c r="J113" s="10"/>
      <c r="K113" s="3"/>
      <c r="L113" s="3"/>
    </row>
    <row x14ac:dyDescent="0.25" r="114" customHeight="1" ht="18.75">
      <c r="A114" s="6" t="s">
        <v>380</v>
      </c>
      <c r="B114" s="6" t="s">
        <v>265</v>
      </c>
      <c r="C114" s="7" t="s">
        <v>34</v>
      </c>
      <c r="D114" s="8" t="s">
        <v>381</v>
      </c>
      <c r="E114" s="8"/>
      <c r="F114" s="9" t="s">
        <v>382</v>
      </c>
      <c r="G114" s="7"/>
      <c r="H114" s="8" t="s">
        <v>383</v>
      </c>
      <c r="I114" s="7" t="s">
        <v>32</v>
      </c>
      <c r="J114" s="10"/>
      <c r="K114" s="3"/>
      <c r="L114" s="3"/>
    </row>
    <row x14ac:dyDescent="0.25" r="115" customHeight="1" ht="18.75">
      <c r="A115" s="6" t="s">
        <v>384</v>
      </c>
      <c r="B115" s="6" t="s">
        <v>265</v>
      </c>
      <c r="C115" s="7" t="s">
        <v>34</v>
      </c>
      <c r="D115" s="8" t="s">
        <v>385</v>
      </c>
      <c r="E115" s="8"/>
      <c r="F115" s="9" t="s">
        <v>386</v>
      </c>
      <c r="G115" s="7"/>
      <c r="H115" s="8" t="s">
        <v>387</v>
      </c>
      <c r="I115" s="7" t="s">
        <v>388</v>
      </c>
      <c r="J115" s="10"/>
      <c r="K115" s="3"/>
      <c r="L115" s="3"/>
    </row>
    <row x14ac:dyDescent="0.25" r="116" customHeight="1" ht="18.75">
      <c r="A116" s="6" t="s">
        <v>389</v>
      </c>
      <c r="B116" s="6" t="s">
        <v>265</v>
      </c>
      <c r="C116" s="7" t="s">
        <v>58</v>
      </c>
      <c r="D116" s="8" t="s">
        <v>390</v>
      </c>
      <c r="E116" s="8"/>
      <c r="F116" s="9" t="s">
        <v>391</v>
      </c>
      <c r="G116" s="7"/>
      <c r="H116" s="8" t="s">
        <v>392</v>
      </c>
      <c r="I116" s="7" t="s">
        <v>17</v>
      </c>
      <c r="J116" s="10"/>
      <c r="K116" s="3"/>
      <c r="L116" s="3"/>
    </row>
    <row x14ac:dyDescent="0.25" r="117" customHeight="1" ht="18.75">
      <c r="A117" s="6" t="s">
        <v>393</v>
      </c>
      <c r="B117" s="6" t="s">
        <v>265</v>
      </c>
      <c r="C117" s="11"/>
      <c r="D117" s="8" t="s">
        <v>394</v>
      </c>
      <c r="E117" s="8"/>
      <c r="F117" s="9" t="s">
        <v>391</v>
      </c>
      <c r="G117" s="7"/>
      <c r="H117" s="8" t="s">
        <v>395</v>
      </c>
      <c r="I117" s="7" t="s">
        <v>17</v>
      </c>
      <c r="J117" s="10"/>
      <c r="K117" s="3"/>
      <c r="L117" s="3"/>
    </row>
    <row x14ac:dyDescent="0.25" r="118" customHeight="1" ht="18.75">
      <c r="A118" s="6" t="s">
        <v>396</v>
      </c>
      <c r="B118" s="6" t="s">
        <v>265</v>
      </c>
      <c r="C118" s="7" t="s">
        <v>58</v>
      </c>
      <c r="D118" s="8" t="s">
        <v>397</v>
      </c>
      <c r="E118" s="8"/>
      <c r="F118" s="9" t="s">
        <v>391</v>
      </c>
      <c r="G118" s="7"/>
      <c r="H118" s="8" t="s">
        <v>398</v>
      </c>
      <c r="I118" s="7" t="s">
        <v>32</v>
      </c>
      <c r="J118" s="10"/>
      <c r="K118" s="3"/>
      <c r="L118" s="3"/>
    </row>
    <row x14ac:dyDescent="0.25" r="119" customHeight="1" ht="18.75">
      <c r="A119" s="6" t="s">
        <v>399</v>
      </c>
      <c r="B119" s="6" t="s">
        <v>265</v>
      </c>
      <c r="C119" s="7" t="s">
        <v>400</v>
      </c>
      <c r="D119" s="8" t="s">
        <v>401</v>
      </c>
      <c r="E119" s="8"/>
      <c r="F119" s="9" t="s">
        <v>402</v>
      </c>
      <c r="G119" s="7" t="s">
        <v>403</v>
      </c>
      <c r="H119" s="8" t="s">
        <v>404</v>
      </c>
      <c r="I119" s="7" t="s">
        <v>17</v>
      </c>
      <c r="J119" s="10"/>
      <c r="K119" s="3"/>
      <c r="L119" s="3"/>
    </row>
    <row x14ac:dyDescent="0.25" r="120" customHeight="1" ht="18.75">
      <c r="A120" s="6" t="s">
        <v>405</v>
      </c>
      <c r="B120" s="6" t="s">
        <v>265</v>
      </c>
      <c r="C120" s="7" t="s">
        <v>58</v>
      </c>
      <c r="D120" s="8" t="s">
        <v>406</v>
      </c>
      <c r="E120" s="8"/>
      <c r="F120" s="9" t="s">
        <v>407</v>
      </c>
      <c r="G120" s="7"/>
      <c r="H120" s="8" t="s">
        <v>408</v>
      </c>
      <c r="I120" s="7" t="s">
        <v>17</v>
      </c>
      <c r="J120" s="10"/>
      <c r="K120" s="3"/>
      <c r="L120" s="3"/>
    </row>
    <row x14ac:dyDescent="0.25" r="121" customHeight="1" ht="18.75">
      <c r="A121" s="6" t="s">
        <v>409</v>
      </c>
      <c r="B121" s="6" t="s">
        <v>265</v>
      </c>
      <c r="C121" s="7" t="s">
        <v>58</v>
      </c>
      <c r="D121" s="8" t="s">
        <v>410</v>
      </c>
      <c r="E121" s="8"/>
      <c r="F121" s="9" t="s">
        <v>407</v>
      </c>
      <c r="G121" s="7"/>
      <c r="H121" s="8" t="s">
        <v>411</v>
      </c>
      <c r="I121" s="7" t="s">
        <v>17</v>
      </c>
      <c r="J121" s="10"/>
      <c r="K121" s="3"/>
      <c r="L121" s="3"/>
    </row>
    <row x14ac:dyDescent="0.25" r="122" customHeight="1" ht="18.75">
      <c r="A122" s="6" t="s">
        <v>412</v>
      </c>
      <c r="B122" s="6" t="s">
        <v>265</v>
      </c>
      <c r="C122" s="7" t="s">
        <v>23</v>
      </c>
      <c r="D122" s="8" t="s">
        <v>413</v>
      </c>
      <c r="E122" s="8"/>
      <c r="F122" s="9" t="s">
        <v>407</v>
      </c>
      <c r="G122" s="7"/>
      <c r="H122" s="8" t="s">
        <v>414</v>
      </c>
      <c r="I122" s="7" t="s">
        <v>17</v>
      </c>
      <c r="J122" s="10"/>
      <c r="K122" s="3"/>
      <c r="L122" s="3"/>
    </row>
    <row x14ac:dyDescent="0.25" r="123" customHeight="1" ht="18.75">
      <c r="A123" s="6" t="s">
        <v>415</v>
      </c>
      <c r="B123" s="6" t="s">
        <v>265</v>
      </c>
      <c r="C123" s="7" t="s">
        <v>23</v>
      </c>
      <c r="D123" s="8" t="s">
        <v>416</v>
      </c>
      <c r="E123" s="8"/>
      <c r="F123" s="9" t="s">
        <v>407</v>
      </c>
      <c r="G123" s="7"/>
      <c r="H123" s="8" t="s">
        <v>417</v>
      </c>
      <c r="I123" s="7" t="s">
        <v>17</v>
      </c>
      <c r="J123" s="10"/>
      <c r="K123" s="3"/>
      <c r="L123" s="3"/>
    </row>
    <row x14ac:dyDescent="0.25" r="124" customHeight="1" ht="18.75">
      <c r="A124" s="6" t="s">
        <v>418</v>
      </c>
      <c r="B124" s="6" t="s">
        <v>265</v>
      </c>
      <c r="C124" s="7" t="s">
        <v>12</v>
      </c>
      <c r="D124" s="8" t="s">
        <v>419</v>
      </c>
      <c r="E124" s="8"/>
      <c r="F124" s="9" t="s">
        <v>407</v>
      </c>
      <c r="G124" s="7"/>
      <c r="H124" s="8" t="s">
        <v>420</v>
      </c>
      <c r="I124" s="7" t="s">
        <v>17</v>
      </c>
      <c r="J124" s="10"/>
      <c r="K124" s="3"/>
      <c r="L124" s="3"/>
    </row>
    <row x14ac:dyDescent="0.25" r="125" customHeight="1" ht="18.75">
      <c r="A125" s="6" t="s">
        <v>421</v>
      </c>
      <c r="B125" s="6" t="s">
        <v>265</v>
      </c>
      <c r="C125" s="7" t="s">
        <v>12</v>
      </c>
      <c r="D125" s="8" t="s">
        <v>422</v>
      </c>
      <c r="E125" s="8"/>
      <c r="F125" s="9" t="s">
        <v>407</v>
      </c>
      <c r="G125" s="7"/>
      <c r="H125" s="8" t="s">
        <v>423</v>
      </c>
      <c r="I125" s="7" t="s">
        <v>17</v>
      </c>
      <c r="J125" s="10"/>
      <c r="K125" s="3"/>
      <c r="L125" s="3"/>
    </row>
    <row x14ac:dyDescent="0.25" r="126" customHeight="1" ht="18.75">
      <c r="A126" s="6" t="s">
        <v>424</v>
      </c>
      <c r="B126" s="6" t="s">
        <v>265</v>
      </c>
      <c r="C126" s="7" t="s">
        <v>12</v>
      </c>
      <c r="D126" s="8" t="s">
        <v>425</v>
      </c>
      <c r="E126" s="8"/>
      <c r="F126" s="9" t="s">
        <v>407</v>
      </c>
      <c r="G126" s="7"/>
      <c r="H126" s="8" t="s">
        <v>426</v>
      </c>
      <c r="I126" s="7" t="s">
        <v>17</v>
      </c>
      <c r="J126" s="10"/>
      <c r="K126" s="3"/>
      <c r="L126" s="3"/>
    </row>
    <row x14ac:dyDescent="0.25" r="127" customHeight="1" ht="18.75">
      <c r="A127" s="6" t="s">
        <v>427</v>
      </c>
      <c r="B127" s="6" t="s">
        <v>265</v>
      </c>
      <c r="C127" s="7" t="s">
        <v>34</v>
      </c>
      <c r="D127" s="8" t="s">
        <v>428</v>
      </c>
      <c r="E127" s="8"/>
      <c r="F127" s="9" t="s">
        <v>407</v>
      </c>
      <c r="G127" s="7"/>
      <c r="H127" s="8" t="s">
        <v>429</v>
      </c>
      <c r="I127" s="7" t="s">
        <v>32</v>
      </c>
      <c r="J127" s="10"/>
      <c r="K127" s="3"/>
      <c r="L127" s="3"/>
    </row>
    <row x14ac:dyDescent="0.25" r="128" customHeight="1" ht="18.75">
      <c r="A128" s="6" t="s">
        <v>430</v>
      </c>
      <c r="B128" s="6" t="s">
        <v>265</v>
      </c>
      <c r="C128" s="7" t="s">
        <v>34</v>
      </c>
      <c r="D128" s="8" t="s">
        <v>431</v>
      </c>
      <c r="E128" s="8"/>
      <c r="F128" s="9" t="s">
        <v>407</v>
      </c>
      <c r="G128" s="7"/>
      <c r="H128" s="8" t="s">
        <v>432</v>
      </c>
      <c r="I128" s="7" t="s">
        <v>17</v>
      </c>
      <c r="J128" s="10"/>
      <c r="K128" s="3"/>
      <c r="L128" s="3"/>
    </row>
    <row x14ac:dyDescent="0.25" r="129" customHeight="1" ht="18.75">
      <c r="A129" s="6" t="s">
        <v>433</v>
      </c>
      <c r="B129" s="6" t="s">
        <v>265</v>
      </c>
      <c r="C129" s="7" t="s">
        <v>34</v>
      </c>
      <c r="D129" s="8" t="s">
        <v>434</v>
      </c>
      <c r="E129" s="8"/>
      <c r="F129" s="9" t="s">
        <v>407</v>
      </c>
      <c r="G129" s="7"/>
      <c r="H129" s="8" t="s">
        <v>417</v>
      </c>
      <c r="I129" s="7" t="s">
        <v>17</v>
      </c>
      <c r="J129" s="10"/>
      <c r="K129" s="3"/>
      <c r="L129" s="3"/>
    </row>
    <row x14ac:dyDescent="0.25" r="130" customHeight="1" ht="18.75">
      <c r="A130" s="6" t="s">
        <v>435</v>
      </c>
      <c r="B130" s="6" t="s">
        <v>265</v>
      </c>
      <c r="C130" s="7" t="s">
        <v>12</v>
      </c>
      <c r="D130" s="8" t="s">
        <v>436</v>
      </c>
      <c r="E130" s="8"/>
      <c r="F130" s="9" t="s">
        <v>407</v>
      </c>
      <c r="G130" s="7"/>
      <c r="H130" s="8" t="s">
        <v>437</v>
      </c>
      <c r="I130" s="7" t="s">
        <v>17</v>
      </c>
      <c r="J130" s="10"/>
      <c r="K130" s="3"/>
      <c r="L130" s="3"/>
    </row>
    <row x14ac:dyDescent="0.25" r="131" customHeight="1" ht="18.75">
      <c r="A131" s="6" t="s">
        <v>438</v>
      </c>
      <c r="B131" s="6" t="s">
        <v>265</v>
      </c>
      <c r="C131" s="7" t="s">
        <v>23</v>
      </c>
      <c r="D131" s="8" t="s">
        <v>439</v>
      </c>
      <c r="E131" s="8"/>
      <c r="F131" s="9" t="s">
        <v>440</v>
      </c>
      <c r="G131" s="7"/>
      <c r="H131" s="8" t="s">
        <v>387</v>
      </c>
      <c r="I131" s="7" t="s">
        <v>388</v>
      </c>
      <c r="J131" s="10"/>
      <c r="K131" s="3"/>
      <c r="L131" s="3"/>
    </row>
    <row x14ac:dyDescent="0.25" r="132" customHeight="1" ht="18.75">
      <c r="A132" s="6" t="s">
        <v>441</v>
      </c>
      <c r="B132" s="6" t="s">
        <v>265</v>
      </c>
      <c r="C132" s="7" t="s">
        <v>58</v>
      </c>
      <c r="D132" s="8" t="s">
        <v>442</v>
      </c>
      <c r="E132" s="8"/>
      <c r="F132" s="9" t="s">
        <v>443</v>
      </c>
      <c r="G132" s="7"/>
      <c r="H132" s="8"/>
      <c r="I132" s="7" t="s">
        <v>32</v>
      </c>
      <c r="J132" s="10"/>
      <c r="K132" s="3"/>
      <c r="L132" s="3"/>
    </row>
    <row x14ac:dyDescent="0.25" r="133" customHeight="1" ht="18.75">
      <c r="A133" s="6" t="s">
        <v>444</v>
      </c>
      <c r="B133" s="6" t="s">
        <v>265</v>
      </c>
      <c r="C133" s="7" t="s">
        <v>58</v>
      </c>
      <c r="D133" s="8" t="s">
        <v>445</v>
      </c>
      <c r="E133" s="8"/>
      <c r="F133" s="9" t="s">
        <v>446</v>
      </c>
      <c r="G133" s="7"/>
      <c r="H133" s="8"/>
      <c r="I133" s="7" t="s">
        <v>32</v>
      </c>
      <c r="J133" s="10"/>
      <c r="K133" s="3"/>
      <c r="L133" s="3"/>
    </row>
    <row x14ac:dyDescent="0.25" r="134" customHeight="1" ht="18.75">
      <c r="A134" s="6" t="s">
        <v>447</v>
      </c>
      <c r="B134" s="6" t="s">
        <v>265</v>
      </c>
      <c r="C134" s="11"/>
      <c r="D134" s="8" t="s">
        <v>448</v>
      </c>
      <c r="E134" s="8"/>
      <c r="F134" s="9" t="s">
        <v>446</v>
      </c>
      <c r="G134" s="7"/>
      <c r="H134" s="8" t="s">
        <v>449</v>
      </c>
      <c r="I134" s="7" t="s">
        <v>32</v>
      </c>
      <c r="J134" s="10"/>
      <c r="K134" s="3"/>
      <c r="L134" s="3"/>
    </row>
    <row x14ac:dyDescent="0.25" r="135" customHeight="1" ht="18.75">
      <c r="A135" s="6" t="s">
        <v>450</v>
      </c>
      <c r="B135" s="6" t="s">
        <v>265</v>
      </c>
      <c r="C135" s="11"/>
      <c r="D135" s="8" t="s">
        <v>451</v>
      </c>
      <c r="E135" s="8"/>
      <c r="F135" s="9" t="s">
        <v>446</v>
      </c>
      <c r="G135" s="7"/>
      <c r="H135" s="8" t="s">
        <v>452</v>
      </c>
      <c r="I135" s="7" t="s">
        <v>32</v>
      </c>
      <c r="J135" s="10"/>
      <c r="K135" s="3"/>
      <c r="L135" s="13" t="s">
        <v>7</v>
      </c>
    </row>
    <row x14ac:dyDescent="0.25" r="136" customHeight="1" ht="18.75">
      <c r="A136" s="6" t="s">
        <v>453</v>
      </c>
      <c r="B136" s="6" t="s">
        <v>454</v>
      </c>
      <c r="C136" s="7" t="s">
        <v>12</v>
      </c>
      <c r="D136" s="8" t="s">
        <v>455</v>
      </c>
      <c r="E136" s="8"/>
      <c r="F136" s="9" t="s">
        <v>456</v>
      </c>
      <c r="G136" s="7"/>
      <c r="H136" s="8"/>
      <c r="I136" s="7" t="s">
        <v>388</v>
      </c>
      <c r="J136" s="10"/>
      <c r="K136" s="3"/>
      <c r="L136" s="3"/>
    </row>
    <row x14ac:dyDescent="0.25" r="137" customHeight="1" ht="18.75">
      <c r="A137" s="6" t="s">
        <v>457</v>
      </c>
      <c r="B137" s="6" t="s">
        <v>458</v>
      </c>
      <c r="C137" s="7" t="s">
        <v>12</v>
      </c>
      <c r="D137" s="8" t="s">
        <v>459</v>
      </c>
      <c r="E137" s="8"/>
      <c r="F137" s="9" t="s">
        <v>460</v>
      </c>
      <c r="G137" s="7"/>
      <c r="H137" s="8"/>
      <c r="I137" s="7" t="s">
        <v>388</v>
      </c>
      <c r="J137" s="10"/>
      <c r="K137" s="3"/>
      <c r="L137" s="3"/>
    </row>
    <row x14ac:dyDescent="0.25" r="138" customHeight="1" ht="18.75">
      <c r="A138" s="6" t="s">
        <v>461</v>
      </c>
      <c r="B138" s="6" t="s">
        <v>458</v>
      </c>
      <c r="C138" s="7" t="s">
        <v>169</v>
      </c>
      <c r="D138" s="8" t="s">
        <v>462</v>
      </c>
      <c r="E138" s="8"/>
      <c r="F138" s="9" t="s">
        <v>463</v>
      </c>
      <c r="G138" s="7"/>
      <c r="H138" s="8"/>
      <c r="I138" s="7" t="s">
        <v>388</v>
      </c>
      <c r="J138" s="10"/>
      <c r="K138" s="3"/>
      <c r="L138" s="3"/>
    </row>
    <row x14ac:dyDescent="0.25" r="139" customHeight="1" ht="18.75">
      <c r="A139" s="6" t="s">
        <v>464</v>
      </c>
      <c r="B139" s="6" t="s">
        <v>458</v>
      </c>
      <c r="C139" s="7" t="s">
        <v>12</v>
      </c>
      <c r="D139" s="8" t="s">
        <v>465</v>
      </c>
      <c r="E139" s="8"/>
      <c r="F139" s="9" t="s">
        <v>463</v>
      </c>
      <c r="G139" s="7"/>
      <c r="H139" s="8" t="s">
        <v>466</v>
      </c>
      <c r="I139" s="7" t="s">
        <v>388</v>
      </c>
      <c r="J139" s="10"/>
      <c r="K139" s="3"/>
      <c r="L139" s="3"/>
    </row>
    <row x14ac:dyDescent="0.25" r="140" customHeight="1" ht="18.75">
      <c r="A140" s="6" t="s">
        <v>467</v>
      </c>
      <c r="B140" s="6" t="s">
        <v>458</v>
      </c>
      <c r="C140" s="7" t="s">
        <v>12</v>
      </c>
      <c r="D140" s="8" t="s">
        <v>468</v>
      </c>
      <c r="E140" s="8"/>
      <c r="F140" s="9" t="s">
        <v>463</v>
      </c>
      <c r="G140" s="7"/>
      <c r="H140" s="8"/>
      <c r="I140" s="7" t="s">
        <v>388</v>
      </c>
      <c r="J140" s="10"/>
      <c r="K140" s="3"/>
      <c r="L140" s="3"/>
    </row>
    <row x14ac:dyDescent="0.25" r="141" customHeight="1" ht="18.75">
      <c r="A141" s="6" t="s">
        <v>469</v>
      </c>
      <c r="B141" s="6" t="s">
        <v>458</v>
      </c>
      <c r="C141" s="7" t="s">
        <v>58</v>
      </c>
      <c r="D141" s="8" t="s">
        <v>470</v>
      </c>
      <c r="E141" s="8"/>
      <c r="F141" s="9" t="s">
        <v>471</v>
      </c>
      <c r="G141" s="7"/>
      <c r="H141" s="8"/>
      <c r="I141" s="7" t="s">
        <v>388</v>
      </c>
      <c r="J141" s="10"/>
      <c r="K141" s="3"/>
      <c r="L141" s="3"/>
    </row>
    <row x14ac:dyDescent="0.25" r="142" customHeight="1" ht="18.75">
      <c r="A142" s="6" t="s">
        <v>472</v>
      </c>
      <c r="B142" s="6" t="s">
        <v>473</v>
      </c>
      <c r="C142" s="7" t="s">
        <v>58</v>
      </c>
      <c r="D142" s="8" t="s">
        <v>474</v>
      </c>
      <c r="E142" s="8"/>
      <c r="F142" s="9"/>
      <c r="G142" s="7"/>
      <c r="H142" s="8" t="s">
        <v>475</v>
      </c>
      <c r="I142" s="7" t="s">
        <v>32</v>
      </c>
      <c r="J142" s="14" t="s">
        <v>476</v>
      </c>
      <c r="K142" s="3"/>
      <c r="L142" s="3"/>
    </row>
    <row x14ac:dyDescent="0.25" r="143" customHeight="1" ht="18.75">
      <c r="A143" s="6" t="s">
        <v>477</v>
      </c>
      <c r="B143" s="6" t="s">
        <v>473</v>
      </c>
      <c r="C143" s="7" t="s">
        <v>58</v>
      </c>
      <c r="D143" s="8" t="s">
        <v>478</v>
      </c>
      <c r="E143" s="8"/>
      <c r="F143" s="9"/>
      <c r="G143" s="7"/>
      <c r="H143" s="8" t="s">
        <v>479</v>
      </c>
      <c r="I143" s="7" t="s">
        <v>32</v>
      </c>
      <c r="J143" s="14" t="s">
        <v>476</v>
      </c>
      <c r="K143" s="3"/>
      <c r="L143" s="3"/>
    </row>
    <row x14ac:dyDescent="0.25" r="144" customHeight="1" ht="18.75">
      <c r="A144" s="6" t="s">
        <v>480</v>
      </c>
      <c r="B144" s="6" t="s">
        <v>473</v>
      </c>
      <c r="C144" s="7" t="s">
        <v>58</v>
      </c>
      <c r="D144" s="8" t="s">
        <v>481</v>
      </c>
      <c r="E144" s="8"/>
      <c r="F144" s="9"/>
      <c r="G144" s="7"/>
      <c r="H144" s="8" t="s">
        <v>482</v>
      </c>
      <c r="I144" s="7" t="s">
        <v>388</v>
      </c>
      <c r="J144" s="14" t="s">
        <v>476</v>
      </c>
      <c r="K144" s="3"/>
      <c r="L144" s="3"/>
    </row>
    <row x14ac:dyDescent="0.25" r="145" customHeight="1" ht="18.75">
      <c r="A145" s="6" t="s">
        <v>483</v>
      </c>
      <c r="B145" s="6" t="s">
        <v>473</v>
      </c>
      <c r="C145" s="7" t="s">
        <v>58</v>
      </c>
      <c r="D145" s="8" t="s">
        <v>484</v>
      </c>
      <c r="E145" s="8"/>
      <c r="F145" s="9"/>
      <c r="G145" s="7"/>
      <c r="H145" s="8" t="s">
        <v>485</v>
      </c>
      <c r="I145" s="7" t="s">
        <v>32</v>
      </c>
      <c r="J145" s="14" t="s">
        <v>476</v>
      </c>
      <c r="K145" s="3"/>
      <c r="L145" s="3"/>
    </row>
    <row x14ac:dyDescent="0.25" r="146" customHeight="1" ht="18.75">
      <c r="A146" s="6" t="s">
        <v>486</v>
      </c>
      <c r="B146" s="6" t="s">
        <v>473</v>
      </c>
      <c r="C146" s="11"/>
      <c r="D146" s="8" t="s">
        <v>487</v>
      </c>
      <c r="E146" s="8"/>
      <c r="F146" s="9"/>
      <c r="G146" s="7"/>
      <c r="H146" s="8" t="s">
        <v>488</v>
      </c>
      <c r="I146" s="7" t="s">
        <v>388</v>
      </c>
      <c r="J146" s="14" t="s">
        <v>476</v>
      </c>
      <c r="K146" s="3"/>
      <c r="L146" s="3"/>
    </row>
    <row x14ac:dyDescent="0.25" r="147" customHeight="1" ht="18.75">
      <c r="A147" s="6" t="s">
        <v>489</v>
      </c>
      <c r="B147" s="6" t="s">
        <v>473</v>
      </c>
      <c r="C147" s="11"/>
      <c r="D147" s="8" t="s">
        <v>490</v>
      </c>
      <c r="E147" s="8"/>
      <c r="F147" s="9"/>
      <c r="G147" s="7"/>
      <c r="H147" s="8"/>
      <c r="I147" s="7" t="s">
        <v>32</v>
      </c>
      <c r="J147" s="14" t="s">
        <v>476</v>
      </c>
      <c r="K147" s="3"/>
      <c r="L147" s="3"/>
    </row>
    <row x14ac:dyDescent="0.25" r="148" customHeight="1" ht="18.75">
      <c r="A148" s="11">
        <v>146</v>
      </c>
      <c r="B148" s="6" t="s">
        <v>473</v>
      </c>
      <c r="C148" s="7" t="s">
        <v>58</v>
      </c>
      <c r="D148" s="8" t="s">
        <v>491</v>
      </c>
      <c r="E148" s="8"/>
      <c r="F148" s="9"/>
      <c r="G148" s="7"/>
      <c r="H148" s="8" t="s">
        <v>492</v>
      </c>
      <c r="I148" s="7" t="s">
        <v>32</v>
      </c>
      <c r="J148" s="14" t="s">
        <v>476</v>
      </c>
      <c r="K148" s="3"/>
      <c r="L148" s="3"/>
    </row>
    <row x14ac:dyDescent="0.25" r="149" customHeight="1" ht="18.75">
      <c r="A149" s="11">
        <v>147</v>
      </c>
      <c r="B149" s="6" t="s">
        <v>473</v>
      </c>
      <c r="C149" s="7" t="s">
        <v>58</v>
      </c>
      <c r="D149" s="8" t="s">
        <v>493</v>
      </c>
      <c r="E149" s="8"/>
      <c r="F149" s="9"/>
      <c r="G149" s="7"/>
      <c r="H149" s="8"/>
      <c r="I149" s="7" t="s">
        <v>32</v>
      </c>
      <c r="J149" s="14" t="s">
        <v>476</v>
      </c>
      <c r="K149" s="3"/>
      <c r="L149" s="3"/>
    </row>
    <row x14ac:dyDescent="0.25" r="150" customHeight="1" ht="18.75">
      <c r="A150" s="11">
        <v>148</v>
      </c>
      <c r="B150" s="6" t="s">
        <v>473</v>
      </c>
      <c r="C150" s="7" t="s">
        <v>58</v>
      </c>
      <c r="D150" s="8" t="s">
        <v>494</v>
      </c>
      <c r="E150" s="8"/>
      <c r="F150" s="9"/>
      <c r="G150" s="7"/>
      <c r="H150" s="8" t="s">
        <v>495</v>
      </c>
      <c r="I150" s="7" t="s">
        <v>388</v>
      </c>
      <c r="J150" s="14" t="s">
        <v>476</v>
      </c>
      <c r="K150" s="3"/>
      <c r="L150" s="3"/>
    </row>
    <row x14ac:dyDescent="0.25" r="151" customHeight="1" ht="18.75">
      <c r="A151" s="11">
        <v>149</v>
      </c>
      <c r="B151" s="6" t="s">
        <v>473</v>
      </c>
      <c r="C151" s="7" t="s">
        <v>58</v>
      </c>
      <c r="D151" s="8" t="s">
        <v>496</v>
      </c>
      <c r="E151" s="8"/>
      <c r="F151" s="9"/>
      <c r="G151" s="7"/>
      <c r="H151" s="8"/>
      <c r="I151" s="7" t="s">
        <v>32</v>
      </c>
      <c r="J151" s="14" t="s">
        <v>476</v>
      </c>
      <c r="K151" s="3"/>
      <c r="L151" s="3"/>
    </row>
    <row x14ac:dyDescent="0.25" r="152" customHeight="1" ht="18.75">
      <c r="A152" s="11">
        <v>150</v>
      </c>
      <c r="B152" s="6" t="s">
        <v>473</v>
      </c>
      <c r="C152" s="7" t="s">
        <v>58</v>
      </c>
      <c r="D152" s="8" t="s">
        <v>497</v>
      </c>
      <c r="E152" s="8"/>
      <c r="F152" s="9"/>
      <c r="G152" s="7"/>
      <c r="H152" s="8" t="s">
        <v>498</v>
      </c>
      <c r="I152" s="7" t="s">
        <v>32</v>
      </c>
      <c r="J152" s="14" t="s">
        <v>476</v>
      </c>
      <c r="K152" s="3"/>
      <c r="L152" s="3"/>
    </row>
    <row x14ac:dyDescent="0.25" r="153" customHeight="1" ht="18.75">
      <c r="A153" s="11">
        <v>151</v>
      </c>
      <c r="B153" s="6" t="s">
        <v>473</v>
      </c>
      <c r="C153" s="7" t="s">
        <v>58</v>
      </c>
      <c r="D153" s="8" t="s">
        <v>499</v>
      </c>
      <c r="E153" s="8"/>
      <c r="F153" s="9"/>
      <c r="G153" s="7"/>
      <c r="H153" s="8"/>
      <c r="I153" s="7" t="s">
        <v>32</v>
      </c>
      <c r="J153" s="14" t="s">
        <v>476</v>
      </c>
      <c r="K153" s="3"/>
      <c r="L153" s="3"/>
    </row>
    <row x14ac:dyDescent="0.25" r="154" customHeight="1" ht="18.75">
      <c r="A154" s="6" t="s">
        <v>500</v>
      </c>
      <c r="B154" s="6" t="s">
        <v>473</v>
      </c>
      <c r="C154" s="7" t="s">
        <v>58</v>
      </c>
      <c r="D154" s="8" t="s">
        <v>501</v>
      </c>
      <c r="E154" s="8"/>
      <c r="F154" s="9"/>
      <c r="G154" s="7"/>
      <c r="H154" s="8" t="s">
        <v>502</v>
      </c>
      <c r="I154" s="7" t="s">
        <v>32</v>
      </c>
      <c r="J154" s="14" t="s">
        <v>476</v>
      </c>
      <c r="K154" s="3"/>
      <c r="L154" s="3"/>
    </row>
    <row x14ac:dyDescent="0.25" r="155" customHeight="1" ht="18.75">
      <c r="A155" s="11">
        <v>153</v>
      </c>
      <c r="B155" s="6" t="s">
        <v>473</v>
      </c>
      <c r="C155" s="7" t="s">
        <v>58</v>
      </c>
      <c r="D155" s="8" t="s">
        <v>503</v>
      </c>
      <c r="E155" s="8"/>
      <c r="F155" s="9"/>
      <c r="G155" s="7"/>
      <c r="H155" s="8"/>
      <c r="I155" s="7" t="s">
        <v>32</v>
      </c>
      <c r="J155" s="14" t="s">
        <v>476</v>
      </c>
      <c r="K155" s="3"/>
      <c r="L155" s="3"/>
    </row>
    <row x14ac:dyDescent="0.25" r="156" customHeight="1" ht="18.75">
      <c r="A156" s="6" t="s">
        <v>504</v>
      </c>
      <c r="B156" s="6" t="s">
        <v>473</v>
      </c>
      <c r="C156" s="7" t="s">
        <v>58</v>
      </c>
      <c r="D156" s="8" t="s">
        <v>505</v>
      </c>
      <c r="E156" s="8"/>
      <c r="F156" s="9"/>
      <c r="G156" s="7"/>
      <c r="H156" s="8"/>
      <c r="I156" s="7" t="s">
        <v>32</v>
      </c>
      <c r="J156" s="14" t="s">
        <v>476</v>
      </c>
      <c r="K156" s="3"/>
      <c r="L156" s="3"/>
    </row>
    <row x14ac:dyDescent="0.25" r="157" customHeight="1" ht="18.75">
      <c r="A157" s="6" t="s">
        <v>506</v>
      </c>
      <c r="B157" s="6" t="s">
        <v>473</v>
      </c>
      <c r="C157" s="7" t="s">
        <v>58</v>
      </c>
      <c r="D157" s="8" t="s">
        <v>507</v>
      </c>
      <c r="E157" s="8"/>
      <c r="F157" s="9"/>
      <c r="G157" s="7"/>
      <c r="H157" s="8"/>
      <c r="I157" s="7" t="s">
        <v>32</v>
      </c>
      <c r="J157" s="14" t="s">
        <v>476</v>
      </c>
      <c r="K157" s="3"/>
      <c r="L157" s="3"/>
    </row>
    <row x14ac:dyDescent="0.25" r="158" customHeight="1" ht="18.75">
      <c r="A158" s="6" t="s">
        <v>508</v>
      </c>
      <c r="B158" s="6" t="s">
        <v>473</v>
      </c>
      <c r="C158" s="7" t="s">
        <v>34</v>
      </c>
      <c r="D158" s="8" t="s">
        <v>509</v>
      </c>
      <c r="E158" s="8"/>
      <c r="F158" s="9"/>
      <c r="G158" s="7"/>
      <c r="H158" s="8"/>
      <c r="I158" s="7" t="s">
        <v>388</v>
      </c>
      <c r="J158" s="15" t="s">
        <v>510</v>
      </c>
      <c r="K158" s="3"/>
      <c r="L158" s="3"/>
    </row>
    <row x14ac:dyDescent="0.25" r="159" customHeight="1" ht="18.75">
      <c r="A159" s="6" t="s">
        <v>511</v>
      </c>
      <c r="B159" s="6" t="s">
        <v>473</v>
      </c>
      <c r="C159" s="7" t="s">
        <v>23</v>
      </c>
      <c r="D159" s="8" t="s">
        <v>512</v>
      </c>
      <c r="E159" s="8"/>
      <c r="F159" s="9"/>
      <c r="G159" s="7"/>
      <c r="H159" s="8"/>
      <c r="I159" s="7" t="s">
        <v>32</v>
      </c>
      <c r="J159" s="14" t="s">
        <v>476</v>
      </c>
      <c r="K159" s="3"/>
      <c r="L159" s="3"/>
    </row>
    <row x14ac:dyDescent="0.25" r="160" customHeight="1" ht="18.75">
      <c r="A160" s="6" t="s">
        <v>513</v>
      </c>
      <c r="B160" s="6" t="s">
        <v>473</v>
      </c>
      <c r="C160" s="7" t="s">
        <v>23</v>
      </c>
      <c r="D160" s="8" t="s">
        <v>514</v>
      </c>
      <c r="E160" s="8"/>
      <c r="F160" s="9"/>
      <c r="G160" s="7"/>
      <c r="H160" s="8"/>
      <c r="I160" s="7" t="s">
        <v>32</v>
      </c>
      <c r="J160" s="14" t="s">
        <v>476</v>
      </c>
      <c r="K160" s="3"/>
      <c r="L160" s="3"/>
    </row>
    <row x14ac:dyDescent="0.25" r="161" customHeight="1" ht="18.75">
      <c r="A161" s="6" t="s">
        <v>515</v>
      </c>
      <c r="B161" s="6" t="s">
        <v>473</v>
      </c>
      <c r="C161" s="7" t="s">
        <v>23</v>
      </c>
      <c r="D161" s="8" t="s">
        <v>516</v>
      </c>
      <c r="E161" s="8"/>
      <c r="F161" s="9"/>
      <c r="G161" s="7"/>
      <c r="H161" s="8"/>
      <c r="I161" s="7" t="s">
        <v>32</v>
      </c>
      <c r="J161" s="14" t="s">
        <v>476</v>
      </c>
      <c r="K161" s="3"/>
      <c r="L161" s="3"/>
    </row>
    <row x14ac:dyDescent="0.25" r="162" customHeight="1" ht="18.75">
      <c r="A162" s="6" t="s">
        <v>517</v>
      </c>
      <c r="B162" s="6" t="s">
        <v>473</v>
      </c>
      <c r="C162" s="7" t="s">
        <v>23</v>
      </c>
      <c r="D162" s="8" t="s">
        <v>518</v>
      </c>
      <c r="E162" s="8"/>
      <c r="F162" s="9"/>
      <c r="G162" s="7"/>
      <c r="H162" s="8"/>
      <c r="I162" s="7" t="s">
        <v>32</v>
      </c>
      <c r="J162" s="14" t="s">
        <v>476</v>
      </c>
      <c r="K162" s="3"/>
      <c r="L162" s="3"/>
    </row>
    <row x14ac:dyDescent="0.25" r="163" customHeight="1" ht="18.75">
      <c r="A163" s="6" t="s">
        <v>519</v>
      </c>
      <c r="B163" s="6" t="s">
        <v>473</v>
      </c>
      <c r="C163" s="7" t="s">
        <v>23</v>
      </c>
      <c r="D163" s="8" t="s">
        <v>520</v>
      </c>
      <c r="E163" s="8"/>
      <c r="F163" s="9"/>
      <c r="G163" s="7"/>
      <c r="H163" s="8"/>
      <c r="I163" s="7" t="s">
        <v>32</v>
      </c>
      <c r="J163" s="14" t="s">
        <v>476</v>
      </c>
      <c r="K163" s="3"/>
      <c r="L163" s="3"/>
    </row>
    <row x14ac:dyDescent="0.25" r="164" customHeight="1" ht="18.75">
      <c r="A164" s="6" t="s">
        <v>521</v>
      </c>
      <c r="B164" s="6" t="s">
        <v>473</v>
      </c>
      <c r="C164" s="7" t="s">
        <v>23</v>
      </c>
      <c r="D164" s="8" t="s">
        <v>522</v>
      </c>
      <c r="E164" s="8"/>
      <c r="F164" s="9"/>
      <c r="G164" s="7"/>
      <c r="H164" s="8" t="s">
        <v>523</v>
      </c>
      <c r="I164" s="7" t="s">
        <v>388</v>
      </c>
      <c r="J164" s="14" t="s">
        <v>476</v>
      </c>
      <c r="K164" s="3"/>
      <c r="L164" s="3"/>
    </row>
    <row x14ac:dyDescent="0.25" r="165" customHeight="1" ht="18.75">
      <c r="A165" s="6" t="s">
        <v>524</v>
      </c>
      <c r="B165" s="6" t="s">
        <v>473</v>
      </c>
      <c r="C165" s="7" t="s">
        <v>23</v>
      </c>
      <c r="D165" s="8" t="s">
        <v>525</v>
      </c>
      <c r="E165" s="8"/>
      <c r="F165" s="9"/>
      <c r="G165" s="7"/>
      <c r="H165" s="8" t="s">
        <v>526</v>
      </c>
      <c r="I165" s="7" t="s">
        <v>32</v>
      </c>
      <c r="J165" s="14" t="s">
        <v>476</v>
      </c>
      <c r="K165" s="3"/>
      <c r="L165" s="3"/>
    </row>
    <row x14ac:dyDescent="0.25" r="166" customHeight="1" ht="18.75">
      <c r="A166" s="6" t="s">
        <v>527</v>
      </c>
      <c r="B166" s="6" t="s">
        <v>473</v>
      </c>
      <c r="C166" s="7" t="s">
        <v>23</v>
      </c>
      <c r="D166" s="8" t="s">
        <v>528</v>
      </c>
      <c r="E166" s="8"/>
      <c r="F166" s="9"/>
      <c r="G166" s="7"/>
      <c r="H166" s="8"/>
      <c r="I166" s="7" t="s">
        <v>32</v>
      </c>
      <c r="J166" s="14" t="s">
        <v>476</v>
      </c>
      <c r="K166" s="3"/>
      <c r="L166" s="3"/>
    </row>
    <row x14ac:dyDescent="0.25" r="167" customHeight="1" ht="18.75">
      <c r="A167" s="6" t="s">
        <v>529</v>
      </c>
      <c r="B167" s="6" t="s">
        <v>473</v>
      </c>
      <c r="C167" s="7" t="s">
        <v>23</v>
      </c>
      <c r="D167" s="8" t="s">
        <v>530</v>
      </c>
      <c r="E167" s="8"/>
      <c r="F167" s="9"/>
      <c r="G167" s="7"/>
      <c r="H167" s="8"/>
      <c r="I167" s="7" t="s">
        <v>32</v>
      </c>
      <c r="J167" s="14" t="s">
        <v>476</v>
      </c>
      <c r="K167" s="3"/>
      <c r="L167" s="3"/>
    </row>
    <row x14ac:dyDescent="0.25" r="168" customHeight="1" ht="18.75">
      <c r="A168" s="6" t="s">
        <v>531</v>
      </c>
      <c r="B168" s="6" t="s">
        <v>473</v>
      </c>
      <c r="C168" s="7" t="s">
        <v>12</v>
      </c>
      <c r="D168" s="8" t="s">
        <v>532</v>
      </c>
      <c r="E168" s="8"/>
      <c r="F168" s="9"/>
      <c r="G168" s="7"/>
      <c r="H168" s="8" t="s">
        <v>533</v>
      </c>
      <c r="I168" s="7" t="s">
        <v>388</v>
      </c>
      <c r="J168" s="14" t="s">
        <v>476</v>
      </c>
      <c r="K168" s="3"/>
      <c r="L168" s="3"/>
    </row>
    <row x14ac:dyDescent="0.25" r="169" customHeight="1" ht="18.75">
      <c r="A169" s="6" t="s">
        <v>534</v>
      </c>
      <c r="B169" s="6" t="s">
        <v>473</v>
      </c>
      <c r="C169" s="7" t="s">
        <v>12</v>
      </c>
      <c r="D169" s="8" t="s">
        <v>535</v>
      </c>
      <c r="E169" s="8"/>
      <c r="F169" s="9"/>
      <c r="G169" s="7"/>
      <c r="H169" s="8"/>
      <c r="I169" s="7" t="s">
        <v>32</v>
      </c>
      <c r="J169" s="14" t="s">
        <v>476</v>
      </c>
      <c r="K169" s="3"/>
      <c r="L169" s="3"/>
    </row>
    <row x14ac:dyDescent="0.25" r="170" customHeight="1" ht="18.75">
      <c r="A170" s="6" t="s">
        <v>536</v>
      </c>
      <c r="B170" s="6" t="s">
        <v>473</v>
      </c>
      <c r="C170" s="7" t="s">
        <v>12</v>
      </c>
      <c r="D170" s="8" t="s">
        <v>537</v>
      </c>
      <c r="E170" s="8"/>
      <c r="F170" s="9"/>
      <c r="G170" s="7"/>
      <c r="H170" s="8"/>
      <c r="I170" s="7" t="s">
        <v>32</v>
      </c>
      <c r="J170" s="14" t="s">
        <v>476</v>
      </c>
      <c r="K170" s="3"/>
      <c r="L170" s="3"/>
    </row>
    <row x14ac:dyDescent="0.25" r="171" customHeight="1" ht="18.75">
      <c r="A171" s="6" t="s">
        <v>538</v>
      </c>
      <c r="B171" s="6" t="s">
        <v>473</v>
      </c>
      <c r="C171" s="7" t="s">
        <v>12</v>
      </c>
      <c r="D171" s="8" t="s">
        <v>539</v>
      </c>
      <c r="E171" s="8"/>
      <c r="F171" s="9"/>
      <c r="G171" s="7"/>
      <c r="H171" s="8"/>
      <c r="I171" s="7" t="s">
        <v>32</v>
      </c>
      <c r="J171" s="14" t="s">
        <v>476</v>
      </c>
      <c r="K171" s="3"/>
      <c r="L171" s="3"/>
    </row>
    <row x14ac:dyDescent="0.25" r="172" customHeight="1" ht="18.75">
      <c r="A172" s="6" t="s">
        <v>540</v>
      </c>
      <c r="B172" s="6" t="s">
        <v>473</v>
      </c>
      <c r="C172" s="7" t="s">
        <v>12</v>
      </c>
      <c r="D172" s="8" t="s">
        <v>541</v>
      </c>
      <c r="E172" s="8"/>
      <c r="F172" s="9"/>
      <c r="G172" s="7"/>
      <c r="H172" s="8"/>
      <c r="I172" s="7" t="s">
        <v>32</v>
      </c>
      <c r="J172" s="14" t="s">
        <v>476</v>
      </c>
      <c r="K172" s="3"/>
      <c r="L172" s="3"/>
    </row>
    <row x14ac:dyDescent="0.25" r="173" customHeight="1" ht="18.75">
      <c r="A173" s="6" t="s">
        <v>542</v>
      </c>
      <c r="B173" s="6" t="s">
        <v>473</v>
      </c>
      <c r="C173" s="7" t="s">
        <v>12</v>
      </c>
      <c r="D173" s="8" t="s">
        <v>543</v>
      </c>
      <c r="E173" s="8"/>
      <c r="F173" s="9"/>
      <c r="G173" s="7"/>
      <c r="H173" s="8" t="s">
        <v>544</v>
      </c>
      <c r="I173" s="7" t="s">
        <v>388</v>
      </c>
      <c r="J173" s="14" t="s">
        <v>476</v>
      </c>
      <c r="K173" s="3"/>
      <c r="L173" s="3"/>
    </row>
    <row x14ac:dyDescent="0.25" r="174" customHeight="1" ht="18.75">
      <c r="A174" s="6" t="s">
        <v>545</v>
      </c>
      <c r="B174" s="6" t="s">
        <v>473</v>
      </c>
      <c r="C174" s="7" t="s">
        <v>12</v>
      </c>
      <c r="D174" s="8" t="s">
        <v>546</v>
      </c>
      <c r="E174" s="8"/>
      <c r="F174" s="9"/>
      <c r="G174" s="7"/>
      <c r="H174" s="8"/>
      <c r="I174" s="7" t="s">
        <v>32</v>
      </c>
      <c r="J174" s="14" t="s">
        <v>476</v>
      </c>
      <c r="K174" s="3"/>
      <c r="L174" s="3"/>
    </row>
    <row x14ac:dyDescent="0.25" r="175" customHeight="1" ht="18.75">
      <c r="A175" s="6" t="s">
        <v>547</v>
      </c>
      <c r="B175" s="6" t="s">
        <v>473</v>
      </c>
      <c r="C175" s="7" t="s">
        <v>12</v>
      </c>
      <c r="D175" s="8" t="s">
        <v>548</v>
      </c>
      <c r="E175" s="8"/>
      <c r="F175" s="9"/>
      <c r="G175" s="7"/>
      <c r="H175" s="8"/>
      <c r="I175" s="7" t="s">
        <v>32</v>
      </c>
      <c r="J175" s="14" t="s">
        <v>476</v>
      </c>
      <c r="K175" s="3"/>
      <c r="L175" s="3"/>
    </row>
    <row x14ac:dyDescent="0.25" r="176" customHeight="1" ht="18.75">
      <c r="A176" s="6" t="s">
        <v>549</v>
      </c>
      <c r="B176" s="6" t="s">
        <v>473</v>
      </c>
      <c r="C176" s="7" t="s">
        <v>12</v>
      </c>
      <c r="D176" s="8" t="s">
        <v>550</v>
      </c>
      <c r="E176" s="8"/>
      <c r="F176" s="9"/>
      <c r="G176" s="7"/>
      <c r="H176" s="8"/>
      <c r="I176" s="7" t="s">
        <v>32</v>
      </c>
      <c r="J176" s="14" t="s">
        <v>476</v>
      </c>
      <c r="K176" s="3"/>
      <c r="L176" s="3"/>
    </row>
    <row x14ac:dyDescent="0.25" r="177" customHeight="1" ht="18.75">
      <c r="A177" s="6" t="s">
        <v>551</v>
      </c>
      <c r="B177" s="6" t="s">
        <v>473</v>
      </c>
      <c r="C177" s="7" t="s">
        <v>12</v>
      </c>
      <c r="D177" s="8" t="s">
        <v>552</v>
      </c>
      <c r="E177" s="8"/>
      <c r="F177" s="9"/>
      <c r="G177" s="7"/>
      <c r="H177" s="8"/>
      <c r="I177" s="7" t="s">
        <v>32</v>
      </c>
      <c r="J177" s="14" t="s">
        <v>476</v>
      </c>
      <c r="K177" s="3"/>
      <c r="L177" s="3"/>
    </row>
    <row x14ac:dyDescent="0.25" r="178" customHeight="1" ht="18.75">
      <c r="A178" s="6" t="s">
        <v>553</v>
      </c>
      <c r="B178" s="6" t="s">
        <v>473</v>
      </c>
      <c r="C178" s="7" t="s">
        <v>34</v>
      </c>
      <c r="D178" s="8" t="s">
        <v>554</v>
      </c>
      <c r="E178" s="8"/>
      <c r="F178" s="9"/>
      <c r="G178" s="7"/>
      <c r="H178" s="8" t="s">
        <v>555</v>
      </c>
      <c r="I178" s="7" t="s">
        <v>388</v>
      </c>
      <c r="J178" s="14" t="s">
        <v>476</v>
      </c>
      <c r="K178" s="3"/>
      <c r="L178" s="3"/>
    </row>
    <row x14ac:dyDescent="0.25" r="179" customHeight="1" ht="18.75">
      <c r="A179" s="6" t="s">
        <v>556</v>
      </c>
      <c r="B179" s="6" t="s">
        <v>473</v>
      </c>
      <c r="C179" s="7" t="s">
        <v>34</v>
      </c>
      <c r="D179" s="8" t="s">
        <v>557</v>
      </c>
      <c r="E179" s="8"/>
      <c r="F179" s="9"/>
      <c r="G179" s="7"/>
      <c r="H179" s="8"/>
      <c r="I179" s="7" t="s">
        <v>32</v>
      </c>
      <c r="J179" s="14" t="s">
        <v>476</v>
      </c>
      <c r="K179" s="3"/>
      <c r="L179" s="3"/>
    </row>
    <row x14ac:dyDescent="0.25" r="180" customHeight="1" ht="18.75">
      <c r="A180" s="6" t="s">
        <v>558</v>
      </c>
      <c r="B180" s="6" t="s">
        <v>473</v>
      </c>
      <c r="C180" s="7" t="s">
        <v>34</v>
      </c>
      <c r="D180" s="8" t="s">
        <v>559</v>
      </c>
      <c r="E180" s="8"/>
      <c r="F180" s="9"/>
      <c r="G180" s="7"/>
      <c r="H180" s="8"/>
      <c r="I180" s="7" t="s">
        <v>32</v>
      </c>
      <c r="J180" s="14" t="s">
        <v>476</v>
      </c>
      <c r="K180" s="3"/>
      <c r="L180" s="3"/>
    </row>
    <row x14ac:dyDescent="0.25" r="181" customHeight="1" ht="18.75">
      <c r="A181" s="6" t="s">
        <v>560</v>
      </c>
      <c r="B181" s="6" t="s">
        <v>473</v>
      </c>
      <c r="C181" s="7" t="s">
        <v>34</v>
      </c>
      <c r="D181" s="8" t="s">
        <v>561</v>
      </c>
      <c r="E181" s="8"/>
      <c r="F181" s="9"/>
      <c r="G181" s="7"/>
      <c r="H181" s="8"/>
      <c r="I181" s="7" t="s">
        <v>32</v>
      </c>
      <c r="J181" s="14" t="s">
        <v>476</v>
      </c>
      <c r="K181" s="3"/>
      <c r="L181" s="3"/>
    </row>
    <row x14ac:dyDescent="0.25" r="182" customHeight="1" ht="18.75">
      <c r="A182" s="6" t="s">
        <v>562</v>
      </c>
      <c r="B182" s="6" t="s">
        <v>473</v>
      </c>
      <c r="C182" s="7" t="s">
        <v>34</v>
      </c>
      <c r="D182" s="8" t="s">
        <v>563</v>
      </c>
      <c r="E182" s="8"/>
      <c r="F182" s="9"/>
      <c r="G182" s="7"/>
      <c r="H182" s="8" t="s">
        <v>564</v>
      </c>
      <c r="I182" s="7" t="s">
        <v>388</v>
      </c>
      <c r="J182" s="14" t="s">
        <v>476</v>
      </c>
      <c r="K182" s="3"/>
      <c r="L182" s="3"/>
    </row>
    <row x14ac:dyDescent="0.25" r="183" customHeight="1" ht="18.75">
      <c r="A183" s="6" t="s">
        <v>565</v>
      </c>
      <c r="B183" s="6" t="s">
        <v>473</v>
      </c>
      <c r="C183" s="7" t="s">
        <v>34</v>
      </c>
      <c r="D183" s="8" t="s">
        <v>566</v>
      </c>
      <c r="E183" s="8"/>
      <c r="F183" s="9"/>
      <c r="G183" s="7"/>
      <c r="H183" s="8"/>
      <c r="I183" s="7" t="s">
        <v>32</v>
      </c>
      <c r="J183" s="14" t="s">
        <v>476</v>
      </c>
      <c r="K183" s="3"/>
      <c r="L183" s="3"/>
    </row>
    <row x14ac:dyDescent="0.25" r="184" customHeight="1" ht="18.75">
      <c r="A184" s="6" t="s">
        <v>567</v>
      </c>
      <c r="B184" s="6" t="s">
        <v>473</v>
      </c>
      <c r="C184" s="7" t="s">
        <v>34</v>
      </c>
      <c r="D184" s="8" t="s">
        <v>568</v>
      </c>
      <c r="E184" s="8"/>
      <c r="F184" s="9"/>
      <c r="G184" s="7"/>
      <c r="H184" s="8"/>
      <c r="I184" s="7" t="s">
        <v>32</v>
      </c>
      <c r="J184" s="14" t="s">
        <v>476</v>
      </c>
      <c r="K184" s="3"/>
      <c r="L184" s="3"/>
    </row>
    <row x14ac:dyDescent="0.25" r="185" customHeight="1" ht="18.75">
      <c r="A185" s="6" t="s">
        <v>569</v>
      </c>
      <c r="B185" s="6" t="s">
        <v>473</v>
      </c>
      <c r="C185" s="7" t="s">
        <v>34</v>
      </c>
      <c r="D185" s="8" t="s">
        <v>570</v>
      </c>
      <c r="E185" s="8"/>
      <c r="F185" s="9"/>
      <c r="G185" s="7"/>
      <c r="H185" s="8"/>
      <c r="I185" s="7" t="s">
        <v>32</v>
      </c>
      <c r="J185" s="14" t="s">
        <v>476</v>
      </c>
      <c r="K185" s="3"/>
      <c r="L185" s="3"/>
    </row>
    <row x14ac:dyDescent="0.25" r="186" customHeight="1" ht="18.75">
      <c r="A186" s="6" t="s">
        <v>571</v>
      </c>
      <c r="B186" s="6" t="s">
        <v>473</v>
      </c>
      <c r="C186" s="7" t="s">
        <v>34</v>
      </c>
      <c r="D186" s="8" t="s">
        <v>572</v>
      </c>
      <c r="E186" s="8"/>
      <c r="F186" s="9"/>
      <c r="G186" s="7"/>
      <c r="H186" s="8"/>
      <c r="I186" s="7" t="s">
        <v>32</v>
      </c>
      <c r="J186" s="14" t="s">
        <v>476</v>
      </c>
      <c r="K186" s="3"/>
      <c r="L186" s="3"/>
    </row>
    <row x14ac:dyDescent="0.25" r="187" customHeight="1" ht="18.75">
      <c r="A187" s="6" t="s">
        <v>573</v>
      </c>
      <c r="B187" s="6" t="s">
        <v>473</v>
      </c>
      <c r="C187" s="7" t="s">
        <v>34</v>
      </c>
      <c r="D187" s="8" t="s">
        <v>574</v>
      </c>
      <c r="E187" s="8"/>
      <c r="F187" s="9"/>
      <c r="G187" s="7"/>
      <c r="H187" s="8"/>
      <c r="I187" s="7" t="s">
        <v>32</v>
      </c>
      <c r="J187" s="14" t="s">
        <v>476</v>
      </c>
      <c r="K187" s="3"/>
      <c r="L187" s="3"/>
    </row>
    <row x14ac:dyDescent="0.25" r="188" customHeight="1" ht="18.75">
      <c r="A188" s="6" t="s">
        <v>575</v>
      </c>
      <c r="B188" s="6" t="s">
        <v>473</v>
      </c>
      <c r="C188" s="7" t="s">
        <v>34</v>
      </c>
      <c r="D188" s="8" t="s">
        <v>576</v>
      </c>
      <c r="E188" s="8"/>
      <c r="F188" s="9"/>
      <c r="G188" s="7"/>
      <c r="H188" s="8"/>
      <c r="I188" s="7" t="s">
        <v>32</v>
      </c>
      <c r="J188" s="14" t="s">
        <v>476</v>
      </c>
      <c r="K188" s="3"/>
      <c r="L188" s="3"/>
    </row>
    <row x14ac:dyDescent="0.25" r="189" customHeight="1" ht="18.75">
      <c r="A189" s="6" t="s">
        <v>577</v>
      </c>
      <c r="B189" s="6" t="s">
        <v>473</v>
      </c>
      <c r="C189" s="7" t="s">
        <v>34</v>
      </c>
      <c r="D189" s="8" t="s">
        <v>578</v>
      </c>
      <c r="E189" s="8"/>
      <c r="F189" s="9"/>
      <c r="G189" s="7"/>
      <c r="H189" s="8"/>
      <c r="I189" s="7" t="s">
        <v>32</v>
      </c>
      <c r="J189" s="14" t="s">
        <v>476</v>
      </c>
      <c r="K189" s="3"/>
      <c r="L189" s="3"/>
    </row>
    <row x14ac:dyDescent="0.25" r="190" customHeight="1" ht="18.75">
      <c r="A190" s="6" t="s">
        <v>579</v>
      </c>
      <c r="B190" s="6" t="s">
        <v>473</v>
      </c>
      <c r="C190" s="7" t="s">
        <v>34</v>
      </c>
      <c r="D190" s="8" t="s">
        <v>580</v>
      </c>
      <c r="E190" s="8"/>
      <c r="F190" s="9"/>
      <c r="G190" s="7"/>
      <c r="H190" s="8" t="s">
        <v>581</v>
      </c>
      <c r="I190" s="7" t="s">
        <v>388</v>
      </c>
      <c r="J190" s="15" t="s">
        <v>510</v>
      </c>
      <c r="K190" s="3"/>
      <c r="L190" s="3"/>
    </row>
    <row x14ac:dyDescent="0.25" r="191" customHeight="1" ht="18.75">
      <c r="A191" s="6" t="s">
        <v>582</v>
      </c>
      <c r="B191" s="6" t="s">
        <v>473</v>
      </c>
      <c r="C191" s="7" t="s">
        <v>34</v>
      </c>
      <c r="D191" s="8" t="s">
        <v>583</v>
      </c>
      <c r="E191" s="8"/>
      <c r="F191" s="9"/>
      <c r="G191" s="7"/>
      <c r="H191" s="8"/>
      <c r="I191" s="7" t="s">
        <v>32</v>
      </c>
      <c r="J191" s="14" t="s">
        <v>476</v>
      </c>
      <c r="K191" s="3"/>
      <c r="L191" s="3"/>
    </row>
    <row x14ac:dyDescent="0.25" r="192" customHeight="1" ht="18.75">
      <c r="A192" s="6" t="s">
        <v>584</v>
      </c>
      <c r="B192" s="6" t="s">
        <v>473</v>
      </c>
      <c r="C192" s="7" t="s">
        <v>34</v>
      </c>
      <c r="D192" s="8" t="s">
        <v>585</v>
      </c>
      <c r="E192" s="8"/>
      <c r="F192" s="9"/>
      <c r="G192" s="7"/>
      <c r="H192" s="8"/>
      <c r="I192" s="7" t="s">
        <v>32</v>
      </c>
      <c r="J192" s="14" t="s">
        <v>476</v>
      </c>
      <c r="K192" s="3"/>
      <c r="L192" s="3"/>
    </row>
    <row x14ac:dyDescent="0.25" r="193" customHeight="1" ht="18.75">
      <c r="A193" s="6" t="s">
        <v>586</v>
      </c>
      <c r="B193" s="6" t="s">
        <v>473</v>
      </c>
      <c r="C193" s="7" t="s">
        <v>34</v>
      </c>
      <c r="D193" s="8" t="s">
        <v>587</v>
      </c>
      <c r="E193" s="8"/>
      <c r="F193" s="9"/>
      <c r="G193" s="7"/>
      <c r="H193" s="8"/>
      <c r="I193" s="7" t="s">
        <v>32</v>
      </c>
      <c r="J193" s="14" t="s">
        <v>476</v>
      </c>
      <c r="K193" s="3"/>
      <c r="L193" s="3"/>
    </row>
    <row x14ac:dyDescent="0.25" r="194" customHeight="1" ht="18.75">
      <c r="A194" s="6" t="s">
        <v>588</v>
      </c>
      <c r="B194" s="6" t="s">
        <v>473</v>
      </c>
      <c r="C194" s="7" t="s">
        <v>34</v>
      </c>
      <c r="D194" s="8" t="s">
        <v>589</v>
      </c>
      <c r="E194" s="8"/>
      <c r="F194" s="9"/>
      <c r="G194" s="7"/>
      <c r="H194" s="8"/>
      <c r="I194" s="7" t="s">
        <v>32</v>
      </c>
      <c r="J194" s="14" t="s">
        <v>476</v>
      </c>
      <c r="K194" s="3"/>
      <c r="L194" s="3"/>
    </row>
    <row x14ac:dyDescent="0.25" r="195" customHeight="1" ht="18.75">
      <c r="A195" s="6" t="s">
        <v>590</v>
      </c>
      <c r="B195" s="6" t="s">
        <v>473</v>
      </c>
      <c r="C195" s="7" t="s">
        <v>34</v>
      </c>
      <c r="D195" s="8" t="s">
        <v>591</v>
      </c>
      <c r="E195" s="8"/>
      <c r="F195" s="9"/>
      <c r="G195" s="7"/>
      <c r="H195" s="8"/>
      <c r="I195" s="7" t="s">
        <v>32</v>
      </c>
      <c r="J195" s="14" t="s">
        <v>476</v>
      </c>
      <c r="K195" s="3"/>
      <c r="L195" s="3"/>
    </row>
    <row x14ac:dyDescent="0.25" r="196" customHeight="1" ht="18.75">
      <c r="A196" s="6" t="s">
        <v>592</v>
      </c>
      <c r="B196" s="6" t="s">
        <v>473</v>
      </c>
      <c r="C196" s="7" t="s">
        <v>34</v>
      </c>
      <c r="D196" s="8" t="s">
        <v>593</v>
      </c>
      <c r="E196" s="8"/>
      <c r="F196" s="9"/>
      <c r="G196" s="7"/>
      <c r="H196" s="8" t="s">
        <v>594</v>
      </c>
      <c r="I196" s="7" t="s">
        <v>388</v>
      </c>
      <c r="J196" s="14" t="s">
        <v>476</v>
      </c>
      <c r="K196" s="3"/>
      <c r="L196" s="3"/>
    </row>
    <row x14ac:dyDescent="0.25" r="197" customHeight="1" ht="18.75">
      <c r="A197" s="6" t="s">
        <v>595</v>
      </c>
      <c r="B197" s="6" t="s">
        <v>473</v>
      </c>
      <c r="C197" s="7" t="s">
        <v>34</v>
      </c>
      <c r="D197" s="8" t="s">
        <v>596</v>
      </c>
      <c r="E197" s="8"/>
      <c r="F197" s="9"/>
      <c r="G197" s="7"/>
      <c r="H197" s="8"/>
      <c r="I197" s="7" t="s">
        <v>32</v>
      </c>
      <c r="J197" s="14" t="s">
        <v>476</v>
      </c>
      <c r="K197" s="3"/>
      <c r="L197" s="3"/>
    </row>
    <row x14ac:dyDescent="0.25" r="198" customHeight="1" ht="18.75">
      <c r="A198" s="6" t="s">
        <v>597</v>
      </c>
      <c r="B198" s="6" t="s">
        <v>473</v>
      </c>
      <c r="C198" s="7" t="s">
        <v>34</v>
      </c>
      <c r="D198" s="8" t="s">
        <v>598</v>
      </c>
      <c r="E198" s="8"/>
      <c r="F198" s="9"/>
      <c r="G198" s="7"/>
      <c r="H198" s="8"/>
      <c r="I198" s="7" t="s">
        <v>32</v>
      </c>
      <c r="J198" s="14" t="s">
        <v>476</v>
      </c>
      <c r="K198" s="3"/>
      <c r="L198" s="3"/>
    </row>
    <row x14ac:dyDescent="0.25" r="199" customHeight="1" ht="18.75">
      <c r="A199" s="6" t="s">
        <v>599</v>
      </c>
      <c r="B199" s="6" t="s">
        <v>473</v>
      </c>
      <c r="C199" s="7" t="s">
        <v>34</v>
      </c>
      <c r="D199" s="8" t="s">
        <v>600</v>
      </c>
      <c r="E199" s="8"/>
      <c r="F199" s="9"/>
      <c r="G199" s="7"/>
      <c r="H199" s="8" t="s">
        <v>601</v>
      </c>
      <c r="I199" s="7" t="s">
        <v>388</v>
      </c>
      <c r="J199" s="14" t="s">
        <v>476</v>
      </c>
      <c r="K199" s="3"/>
      <c r="L199" s="3"/>
    </row>
    <row x14ac:dyDescent="0.25" r="200" customHeight="1" ht="18.75">
      <c r="A200" s="6" t="s">
        <v>602</v>
      </c>
      <c r="B200" s="6" t="s">
        <v>473</v>
      </c>
      <c r="C200" s="7" t="s">
        <v>34</v>
      </c>
      <c r="D200" s="8" t="s">
        <v>603</v>
      </c>
      <c r="E200" s="8"/>
      <c r="F200" s="9"/>
      <c r="G200" s="7"/>
      <c r="H200" s="8"/>
      <c r="I200" s="7" t="s">
        <v>32</v>
      </c>
      <c r="J200" s="14" t="s">
        <v>476</v>
      </c>
      <c r="K200" s="3"/>
      <c r="L200" s="3"/>
    </row>
    <row x14ac:dyDescent="0.25" r="201" customHeight="1" ht="18.75">
      <c r="A201" s="6" t="s">
        <v>604</v>
      </c>
      <c r="B201" s="6" t="s">
        <v>473</v>
      </c>
      <c r="C201" s="7" t="s">
        <v>34</v>
      </c>
      <c r="D201" s="8" t="s">
        <v>605</v>
      </c>
      <c r="E201" s="8"/>
      <c r="F201" s="9"/>
      <c r="G201" s="7"/>
      <c r="H201" s="8"/>
      <c r="I201" s="7" t="s">
        <v>32</v>
      </c>
      <c r="J201" s="14" t="s">
        <v>476</v>
      </c>
      <c r="K201" s="3"/>
      <c r="L201" s="3"/>
    </row>
    <row x14ac:dyDescent="0.25" r="202" customHeight="1" ht="18.75">
      <c r="A202" s="6" t="s">
        <v>606</v>
      </c>
      <c r="B202" s="6" t="s">
        <v>473</v>
      </c>
      <c r="C202" s="7" t="s">
        <v>34</v>
      </c>
      <c r="D202" s="8" t="s">
        <v>607</v>
      </c>
      <c r="E202" s="8"/>
      <c r="F202" s="9"/>
      <c r="G202" s="7"/>
      <c r="H202" s="8"/>
      <c r="I202" s="7" t="s">
        <v>32</v>
      </c>
      <c r="J202" s="14" t="s">
        <v>476</v>
      </c>
      <c r="K202" s="3"/>
      <c r="L202" s="3"/>
    </row>
    <row x14ac:dyDescent="0.25" r="203" customHeight="1" ht="18.75">
      <c r="A203" s="6" t="s">
        <v>608</v>
      </c>
      <c r="B203" s="6" t="s">
        <v>473</v>
      </c>
      <c r="C203" s="7" t="s">
        <v>34</v>
      </c>
      <c r="D203" s="8" t="s">
        <v>609</v>
      </c>
      <c r="E203" s="8"/>
      <c r="F203" s="9"/>
      <c r="G203" s="7"/>
      <c r="H203" s="8"/>
      <c r="I203" s="7" t="s">
        <v>32</v>
      </c>
      <c r="J203" s="14" t="s">
        <v>476</v>
      </c>
      <c r="K203" s="3"/>
      <c r="L203" s="3"/>
    </row>
    <row x14ac:dyDescent="0.25" r="204" customHeight="1" ht="18.75">
      <c r="A204" s="6" t="s">
        <v>610</v>
      </c>
      <c r="B204" s="6" t="s">
        <v>473</v>
      </c>
      <c r="C204" s="7" t="s">
        <v>34</v>
      </c>
      <c r="D204" s="8" t="s">
        <v>611</v>
      </c>
      <c r="E204" s="8"/>
      <c r="F204" s="9"/>
      <c r="G204" s="7"/>
      <c r="H204" s="8"/>
      <c r="I204" s="7" t="s">
        <v>32</v>
      </c>
      <c r="J204" s="14" t="s">
        <v>476</v>
      </c>
      <c r="K204" s="3"/>
      <c r="L204" s="3"/>
    </row>
    <row x14ac:dyDescent="0.25" r="205" customHeight="1" ht="18.75">
      <c r="A205" s="6" t="s">
        <v>612</v>
      </c>
      <c r="B205" s="6" t="s">
        <v>473</v>
      </c>
      <c r="C205" s="7" t="s">
        <v>34</v>
      </c>
      <c r="D205" s="8" t="s">
        <v>613</v>
      </c>
      <c r="E205" s="8"/>
      <c r="F205" s="9"/>
      <c r="G205" s="7"/>
      <c r="H205" s="8"/>
      <c r="I205" s="7" t="s">
        <v>32</v>
      </c>
      <c r="J205" s="14" t="s">
        <v>476</v>
      </c>
      <c r="K205" s="3"/>
      <c r="L205" s="3"/>
    </row>
    <row x14ac:dyDescent="0.25" r="206" customHeight="1" ht="18.75">
      <c r="A206" s="6" t="s">
        <v>614</v>
      </c>
      <c r="B206" s="6" t="s">
        <v>473</v>
      </c>
      <c r="C206" s="7" t="s">
        <v>34</v>
      </c>
      <c r="D206" s="8" t="s">
        <v>615</v>
      </c>
      <c r="E206" s="8"/>
      <c r="F206" s="9"/>
      <c r="G206" s="7"/>
      <c r="H206" s="8"/>
      <c r="I206" s="7" t="s">
        <v>32</v>
      </c>
      <c r="J206" s="14" t="s">
        <v>476</v>
      </c>
      <c r="K206" s="3"/>
      <c r="L206" s="3"/>
    </row>
    <row x14ac:dyDescent="0.25" r="207" customHeight="1" ht="18.75">
      <c r="A207" s="6" t="s">
        <v>616</v>
      </c>
      <c r="B207" s="6" t="s">
        <v>473</v>
      </c>
      <c r="C207" s="7" t="s">
        <v>34</v>
      </c>
      <c r="D207" s="8" t="s">
        <v>617</v>
      </c>
      <c r="E207" s="8"/>
      <c r="F207" s="9"/>
      <c r="G207" s="7"/>
      <c r="H207" s="8"/>
      <c r="I207" s="7" t="s">
        <v>32</v>
      </c>
      <c r="J207" s="14" t="s">
        <v>476</v>
      </c>
      <c r="K207" s="3"/>
      <c r="L207" s="3"/>
    </row>
    <row x14ac:dyDescent="0.25" r="208" customHeight="1" ht="18.75">
      <c r="A208" s="6" t="s">
        <v>618</v>
      </c>
      <c r="B208" s="6" t="s">
        <v>473</v>
      </c>
      <c r="C208" s="7" t="s">
        <v>34</v>
      </c>
      <c r="D208" s="8" t="s">
        <v>619</v>
      </c>
      <c r="E208" s="8"/>
      <c r="F208" s="9"/>
      <c r="G208" s="7"/>
      <c r="H208" s="8"/>
      <c r="I208" s="7" t="s">
        <v>32</v>
      </c>
      <c r="J208" s="14" t="s">
        <v>476</v>
      </c>
      <c r="K208" s="3"/>
      <c r="L208" s="3"/>
    </row>
    <row x14ac:dyDescent="0.25" r="209" customHeight="1" ht="18.75">
      <c r="A209" s="6" t="s">
        <v>620</v>
      </c>
      <c r="B209" s="6" t="s">
        <v>473</v>
      </c>
      <c r="C209" s="7" t="s">
        <v>34</v>
      </c>
      <c r="D209" s="8" t="s">
        <v>621</v>
      </c>
      <c r="E209" s="8"/>
      <c r="F209" s="9"/>
      <c r="G209" s="7"/>
      <c r="H209" s="8" t="s">
        <v>622</v>
      </c>
      <c r="I209" s="7" t="s">
        <v>388</v>
      </c>
      <c r="J209" s="14" t="s">
        <v>476</v>
      </c>
      <c r="K209" s="3"/>
      <c r="L209" s="3"/>
    </row>
    <row x14ac:dyDescent="0.25" r="210" customHeight="1" ht="18.75">
      <c r="A210" s="6" t="s">
        <v>623</v>
      </c>
      <c r="B210" s="6" t="s">
        <v>473</v>
      </c>
      <c r="C210" s="7" t="s">
        <v>34</v>
      </c>
      <c r="D210" s="8" t="s">
        <v>624</v>
      </c>
      <c r="E210" s="8"/>
      <c r="F210" s="9"/>
      <c r="G210" s="7"/>
      <c r="H210" s="8" t="s">
        <v>625</v>
      </c>
      <c r="I210" s="7" t="s">
        <v>32</v>
      </c>
      <c r="J210" s="14" t="s">
        <v>476</v>
      </c>
      <c r="K210" s="3"/>
      <c r="L210" s="3"/>
    </row>
    <row x14ac:dyDescent="0.25" r="211" customHeight="1" ht="18.75">
      <c r="A211" s="6" t="s">
        <v>626</v>
      </c>
      <c r="B211" s="6" t="s">
        <v>473</v>
      </c>
      <c r="C211" s="7" t="s">
        <v>34</v>
      </c>
      <c r="D211" s="8" t="s">
        <v>627</v>
      </c>
      <c r="E211" s="8"/>
      <c r="F211" s="9"/>
      <c r="G211" s="7"/>
      <c r="H211" s="8"/>
      <c r="I211" s="7" t="s">
        <v>32</v>
      </c>
      <c r="J211" s="14" t="s">
        <v>476</v>
      </c>
      <c r="K211" s="3"/>
      <c r="L211" s="3"/>
    </row>
    <row x14ac:dyDescent="0.25" r="212" customHeight="1" ht="18.75">
      <c r="A212" s="6" t="s">
        <v>628</v>
      </c>
      <c r="B212" s="6" t="s">
        <v>473</v>
      </c>
      <c r="C212" s="7" t="s">
        <v>169</v>
      </c>
      <c r="D212" s="8" t="s">
        <v>629</v>
      </c>
      <c r="E212" s="8"/>
      <c r="F212" s="9"/>
      <c r="G212" s="7"/>
      <c r="H212" s="8"/>
      <c r="I212" s="7" t="s">
        <v>32</v>
      </c>
      <c r="J212" s="14" t="s">
        <v>476</v>
      </c>
      <c r="K212" s="3"/>
      <c r="L212" s="3"/>
    </row>
    <row x14ac:dyDescent="0.25" r="213" customHeight="1" ht="18.75">
      <c r="A213" s="6" t="s">
        <v>630</v>
      </c>
      <c r="B213" s="6" t="s">
        <v>473</v>
      </c>
      <c r="C213" s="7" t="s">
        <v>169</v>
      </c>
      <c r="D213" s="8" t="s">
        <v>631</v>
      </c>
      <c r="E213" s="8"/>
      <c r="F213" s="9"/>
      <c r="G213" s="7"/>
      <c r="H213" s="8"/>
      <c r="I213" s="7" t="s">
        <v>32</v>
      </c>
      <c r="J213" s="14" t="s">
        <v>476</v>
      </c>
      <c r="K213" s="3"/>
      <c r="L213" s="3"/>
    </row>
    <row x14ac:dyDescent="0.25" r="214" customHeight="1" ht="18.75">
      <c r="A214" s="6" t="s">
        <v>632</v>
      </c>
      <c r="B214" s="6" t="s">
        <v>473</v>
      </c>
      <c r="C214" s="7" t="s">
        <v>169</v>
      </c>
      <c r="D214" s="8" t="s">
        <v>633</v>
      </c>
      <c r="E214" s="8"/>
      <c r="F214" s="9"/>
      <c r="G214" s="7"/>
      <c r="H214" s="8" t="s">
        <v>634</v>
      </c>
      <c r="I214" s="7" t="s">
        <v>388</v>
      </c>
      <c r="J214" s="15" t="s">
        <v>510</v>
      </c>
      <c r="K214" s="3"/>
      <c r="L214" s="3"/>
    </row>
    <row x14ac:dyDescent="0.25" r="215" customHeight="1" ht="18.75">
      <c r="A215" s="6" t="s">
        <v>635</v>
      </c>
      <c r="B215" s="6" t="s">
        <v>473</v>
      </c>
      <c r="C215" s="7" t="s">
        <v>636</v>
      </c>
      <c r="D215" s="8" t="s">
        <v>637</v>
      </c>
      <c r="E215" s="8"/>
      <c r="F215" s="9"/>
      <c r="G215" s="7"/>
      <c r="H215" s="8" t="s">
        <v>638</v>
      </c>
      <c r="I215" s="7" t="s">
        <v>388</v>
      </c>
      <c r="J215" s="15" t="s">
        <v>510</v>
      </c>
      <c r="K215" s="3"/>
      <c r="L215" s="3"/>
    </row>
    <row x14ac:dyDescent="0.25" r="216" customHeight="1" ht="18.75">
      <c r="A216" s="6" t="s">
        <v>639</v>
      </c>
      <c r="B216" s="11"/>
      <c r="C216" s="11"/>
      <c r="D216" s="8"/>
      <c r="E216" s="8"/>
      <c r="F216" s="9"/>
      <c r="G216" s="7"/>
      <c r="H216" s="8"/>
      <c r="I216" s="7"/>
      <c r="J216" s="16"/>
      <c r="K216" s="3"/>
      <c r="L216" s="3"/>
    </row>
    <row x14ac:dyDescent="0.25" r="217" customHeight="1" ht="18.75">
      <c r="A217" s="6" t="s">
        <v>640</v>
      </c>
      <c r="B217" s="11"/>
      <c r="C217" s="11"/>
      <c r="D217" s="8"/>
      <c r="E217" s="8"/>
      <c r="F217" s="9"/>
      <c r="G217" s="7"/>
      <c r="H217" s="8"/>
      <c r="I217" s="7"/>
      <c r="J217" s="16"/>
      <c r="K217" s="3"/>
      <c r="L217" s="3"/>
    </row>
    <row x14ac:dyDescent="0.25" r="218" customHeight="1" ht="18.75">
      <c r="A218" s="6" t="s">
        <v>641</v>
      </c>
      <c r="B218" s="11"/>
      <c r="C218" s="11"/>
      <c r="D218" s="8"/>
      <c r="E218" s="8"/>
      <c r="F218" s="9"/>
      <c r="G218" s="7"/>
      <c r="H218" s="8"/>
      <c r="I218" s="7"/>
      <c r="J218" s="16"/>
      <c r="K218" s="3"/>
      <c r="L218" s="3"/>
    </row>
    <row x14ac:dyDescent="0.25" r="219" customHeight="1" ht="18.75">
      <c r="A219" s="6" t="s">
        <v>642</v>
      </c>
      <c r="B219" s="11"/>
      <c r="C219" s="11"/>
      <c r="D219" s="8"/>
      <c r="E219" s="8"/>
      <c r="F219" s="9"/>
      <c r="G219" s="7"/>
      <c r="H219" s="8"/>
      <c r="I219" s="7"/>
      <c r="J219" s="16"/>
      <c r="K219" s="3"/>
      <c r="L219" s="3"/>
    </row>
    <row x14ac:dyDescent="0.25" r="220" customHeight="1" ht="18.75">
      <c r="A220" s="6" t="s">
        <v>643</v>
      </c>
      <c r="B220" s="11"/>
      <c r="C220" s="11"/>
      <c r="D220" s="8"/>
      <c r="E220" s="8"/>
      <c r="F220" s="9"/>
      <c r="G220" s="7"/>
      <c r="H220" s="8"/>
      <c r="I220" s="7"/>
      <c r="J220" s="16"/>
      <c r="K220" s="3"/>
      <c r="L220" s="3"/>
    </row>
    <row x14ac:dyDescent="0.25" r="221" customHeight="1" ht="18.75">
      <c r="A221" s="6" t="s">
        <v>644</v>
      </c>
      <c r="B221" s="11"/>
      <c r="C221" s="11"/>
      <c r="D221" s="8"/>
      <c r="E221" s="8"/>
      <c r="F221" s="9"/>
      <c r="G221" s="7"/>
      <c r="H221" s="8"/>
      <c r="I221" s="7"/>
      <c r="J221" s="16"/>
      <c r="K221" s="3"/>
      <c r="L221" s="3"/>
    </row>
    <row x14ac:dyDescent="0.25" r="222" customHeight="1" ht="18.75">
      <c r="A222" s="6" t="s">
        <v>645</v>
      </c>
      <c r="B222" s="11"/>
      <c r="C222" s="11"/>
      <c r="D222" s="8"/>
      <c r="E222" s="8"/>
      <c r="F222" s="9"/>
      <c r="G222" s="7"/>
      <c r="H222" s="8"/>
      <c r="I222" s="7"/>
      <c r="J222" s="16"/>
      <c r="K222" s="3"/>
      <c r="L222" s="3"/>
    </row>
    <row x14ac:dyDescent="0.25" r="223" customHeight="1" ht="18.75">
      <c r="A223" s="6" t="s">
        <v>646</v>
      </c>
      <c r="B223" s="11"/>
      <c r="C223" s="11"/>
      <c r="D223" s="8"/>
      <c r="E223" s="8"/>
      <c r="F223" s="9"/>
      <c r="G223" s="7"/>
      <c r="H223" s="8"/>
      <c r="I223" s="7"/>
      <c r="J223" s="16"/>
      <c r="K223" s="3"/>
      <c r="L223" s="3"/>
    </row>
    <row x14ac:dyDescent="0.25" r="224" customHeight="1" ht="18.75">
      <c r="A224" s="6" t="s">
        <v>647</v>
      </c>
      <c r="B224" s="11"/>
      <c r="C224" s="11"/>
      <c r="D224" s="8"/>
      <c r="E224" s="8"/>
      <c r="F224" s="9"/>
      <c r="G224" s="7"/>
      <c r="H224" s="8"/>
      <c r="I224" s="7"/>
      <c r="J224" s="16"/>
      <c r="K224" s="3"/>
      <c r="L224" s="3"/>
    </row>
    <row x14ac:dyDescent="0.25" r="225" customHeight="1" ht="18.75">
      <c r="A225" s="6" t="s">
        <v>648</v>
      </c>
      <c r="B225" s="11"/>
      <c r="C225" s="11"/>
      <c r="D225" s="8"/>
      <c r="E225" s="8"/>
      <c r="F225" s="9"/>
      <c r="G225" s="7"/>
      <c r="H225" s="8"/>
      <c r="I225" s="7"/>
      <c r="J225" s="16"/>
      <c r="K225" s="3"/>
      <c r="L225" s="3"/>
    </row>
    <row x14ac:dyDescent="0.25" r="226" customHeight="1" ht="18.75">
      <c r="A226" s="6" t="s">
        <v>649</v>
      </c>
      <c r="B226" s="11"/>
      <c r="C226" s="11"/>
      <c r="D226" s="8"/>
      <c r="E226" s="8"/>
      <c r="F226" s="9"/>
      <c r="G226" s="7"/>
      <c r="H226" s="8"/>
      <c r="I226" s="7"/>
      <c r="J226" s="16"/>
      <c r="K226" s="3"/>
      <c r="L226" s="3"/>
    </row>
    <row x14ac:dyDescent="0.25" r="227" customHeight="1" ht="18.75">
      <c r="A227" s="6" t="s">
        <v>650</v>
      </c>
      <c r="B227" s="11"/>
      <c r="C227" s="11"/>
      <c r="D227" s="8"/>
      <c r="E227" s="8"/>
      <c r="F227" s="9"/>
      <c r="G227" s="7"/>
      <c r="H227" s="8"/>
      <c r="I227" s="7"/>
      <c r="J227" s="16"/>
      <c r="K227" s="3"/>
      <c r="L227" s="3"/>
    </row>
    <row x14ac:dyDescent="0.25" r="228" customHeight="1" ht="18.75">
      <c r="A228" s="6" t="s">
        <v>651</v>
      </c>
      <c r="B228" s="11"/>
      <c r="C228" s="11"/>
      <c r="D228" s="8"/>
      <c r="E228" s="8"/>
      <c r="F228" s="9"/>
      <c r="G228" s="7"/>
      <c r="H228" s="8"/>
      <c r="I228" s="7"/>
      <c r="J228" s="16"/>
      <c r="K228" s="3"/>
      <c r="L228" s="3"/>
    </row>
    <row x14ac:dyDescent="0.25" r="229" customHeight="1" ht="18.75">
      <c r="A229" s="6" t="s">
        <v>652</v>
      </c>
      <c r="B229" s="11"/>
      <c r="C229" s="11"/>
      <c r="D229" s="8"/>
      <c r="E229" s="8"/>
      <c r="F229" s="9"/>
      <c r="G229" s="7"/>
      <c r="H229" s="8"/>
      <c r="I229" s="7"/>
      <c r="J229" s="16"/>
      <c r="K229" s="3"/>
      <c r="L229" s="3"/>
    </row>
    <row x14ac:dyDescent="0.25" r="230" customHeight="1" ht="18.75">
      <c r="A230" s="6" t="s">
        <v>653</v>
      </c>
      <c r="B230" s="11"/>
      <c r="C230" s="11"/>
      <c r="D230" s="8"/>
      <c r="E230" s="8"/>
      <c r="F230" s="9"/>
      <c r="G230" s="7"/>
      <c r="H230" s="8"/>
      <c r="I230" s="7"/>
      <c r="J230" s="16"/>
      <c r="K230" s="3"/>
      <c r="L230" s="3"/>
    </row>
    <row x14ac:dyDescent="0.25" r="231" customHeight="1" ht="18.75">
      <c r="A231" s="6" t="s">
        <v>654</v>
      </c>
      <c r="B231" s="11"/>
      <c r="C231" s="11"/>
      <c r="D231" s="8"/>
      <c r="E231" s="8"/>
      <c r="F231" s="9"/>
      <c r="G231" s="7"/>
      <c r="H231" s="8"/>
      <c r="I231" s="7"/>
      <c r="J231" s="16"/>
      <c r="K231" s="3"/>
      <c r="L231" s="3"/>
    </row>
    <row x14ac:dyDescent="0.25" r="232" customHeight="1" ht="18.75">
      <c r="A232" s="6" t="s">
        <v>655</v>
      </c>
      <c r="B232" s="11"/>
      <c r="C232" s="11"/>
      <c r="D232" s="8"/>
      <c r="E232" s="8"/>
      <c r="F232" s="9"/>
      <c r="G232" s="7"/>
      <c r="H232" s="8"/>
      <c r="I232" s="7"/>
      <c r="J232" s="16"/>
      <c r="K232" s="3"/>
      <c r="L232" s="3"/>
    </row>
    <row x14ac:dyDescent="0.25" r="233" customHeight="1" ht="18.75">
      <c r="A233" s="6" t="s">
        <v>656</v>
      </c>
      <c r="B233" s="11"/>
      <c r="C233" s="11"/>
      <c r="D233" s="8"/>
      <c r="E233" s="8"/>
      <c r="F233" s="9"/>
      <c r="G233" s="7"/>
      <c r="H233" s="8"/>
      <c r="I233" s="7"/>
      <c r="J233" s="16"/>
      <c r="K233" s="3"/>
      <c r="L233" s="3"/>
    </row>
    <row x14ac:dyDescent="0.25" r="234" customHeight="1" ht="18.75">
      <c r="A234" s="6" t="s">
        <v>657</v>
      </c>
      <c r="B234" s="11"/>
      <c r="C234" s="11"/>
      <c r="D234" s="8"/>
      <c r="E234" s="8"/>
      <c r="F234" s="9"/>
      <c r="G234" s="7"/>
      <c r="H234" s="8"/>
      <c r="I234" s="7"/>
      <c r="J234" s="16"/>
      <c r="K234" s="3"/>
      <c r="L234" s="3"/>
    </row>
    <row x14ac:dyDescent="0.25" r="235" customHeight="1" ht="18.75">
      <c r="A235" s="6" t="s">
        <v>658</v>
      </c>
      <c r="B235" s="11"/>
      <c r="C235" s="11"/>
      <c r="D235" s="8"/>
      <c r="E235" s="8"/>
      <c r="F235" s="9"/>
      <c r="G235" s="7"/>
      <c r="H235" s="8"/>
      <c r="I235" s="7"/>
      <c r="J235" s="16"/>
      <c r="K235" s="3"/>
      <c r="L235" s="3"/>
    </row>
    <row x14ac:dyDescent="0.25" r="236" customHeight="1" ht="18.75">
      <c r="A236" s="6" t="s">
        <v>659</v>
      </c>
      <c r="B236" s="11"/>
      <c r="C236" s="11"/>
      <c r="D236" s="8"/>
      <c r="E236" s="8"/>
      <c r="F236" s="9"/>
      <c r="G236" s="7"/>
      <c r="H236" s="8"/>
      <c r="I236" s="7"/>
      <c r="J236" s="16"/>
      <c r="K236" s="3"/>
      <c r="L236" s="3"/>
    </row>
    <row x14ac:dyDescent="0.25" r="237" customHeight="1" ht="18.75">
      <c r="A237" s="6" t="s">
        <v>660</v>
      </c>
      <c r="B237" s="11"/>
      <c r="C237" s="11"/>
      <c r="D237" s="8"/>
      <c r="E237" s="8"/>
      <c r="F237" s="9"/>
      <c r="G237" s="7"/>
      <c r="H237" s="8"/>
      <c r="I237" s="7"/>
      <c r="J237" s="16"/>
      <c r="K237" s="3"/>
      <c r="L237" s="3"/>
    </row>
    <row x14ac:dyDescent="0.25" r="238" customHeight="1" ht="18.75">
      <c r="A238" s="6" t="s">
        <v>661</v>
      </c>
      <c r="B238" s="11"/>
      <c r="C238" s="11"/>
      <c r="D238" s="8"/>
      <c r="E238" s="8"/>
      <c r="F238" s="9"/>
      <c r="G238" s="7"/>
      <c r="H238" s="8"/>
      <c r="I238" s="7"/>
      <c r="J238" s="16"/>
      <c r="K238" s="3"/>
      <c r="L238" s="3"/>
    </row>
    <row x14ac:dyDescent="0.25" r="239" customHeight="1" ht="18.75">
      <c r="A239" s="6" t="s">
        <v>662</v>
      </c>
      <c r="B239" s="11"/>
      <c r="C239" s="11"/>
      <c r="D239" s="8"/>
      <c r="E239" s="8"/>
      <c r="F239" s="9"/>
      <c r="G239" s="7"/>
      <c r="H239" s="8"/>
      <c r="I239" s="7"/>
      <c r="J239" s="16"/>
      <c r="K239" s="3"/>
      <c r="L239" s="3"/>
    </row>
    <row x14ac:dyDescent="0.25" r="240" customHeight="1" ht="18.75">
      <c r="A240" s="6" t="s">
        <v>663</v>
      </c>
      <c r="B240" s="11"/>
      <c r="C240" s="11"/>
      <c r="D240" s="8"/>
      <c r="E240" s="8"/>
      <c r="F240" s="9"/>
      <c r="G240" s="7"/>
      <c r="H240" s="8"/>
      <c r="I240" s="7"/>
      <c r="J240" s="16"/>
      <c r="K240" s="3"/>
      <c r="L240" s="3"/>
    </row>
    <row x14ac:dyDescent="0.25" r="241" customHeight="1" ht="18.75">
      <c r="A241" s="6" t="s">
        <v>664</v>
      </c>
      <c r="B241" s="11"/>
      <c r="C241" s="11"/>
      <c r="D241" s="8"/>
      <c r="E241" s="8"/>
      <c r="F241" s="9"/>
      <c r="G241" s="7"/>
      <c r="H241" s="8"/>
      <c r="I241" s="7"/>
      <c r="J241" s="16"/>
      <c r="K241" s="3"/>
      <c r="L241" s="3"/>
    </row>
    <row x14ac:dyDescent="0.25" r="242" customHeight="1" ht="18.75">
      <c r="A242" s="6" t="s">
        <v>665</v>
      </c>
      <c r="B242" s="11"/>
      <c r="C242" s="11"/>
      <c r="D242" s="8"/>
      <c r="E242" s="8"/>
      <c r="F242" s="9"/>
      <c r="G242" s="7"/>
      <c r="H242" s="8"/>
      <c r="I242" s="7"/>
      <c r="J242" s="16"/>
      <c r="K242" s="3"/>
      <c r="L242" s="3"/>
    </row>
    <row x14ac:dyDescent="0.25" r="243" customHeight="1" ht="18.75">
      <c r="A243" s="6" t="s">
        <v>666</v>
      </c>
      <c r="B243" s="11"/>
      <c r="C243" s="11"/>
      <c r="D243" s="8"/>
      <c r="E243" s="8"/>
      <c r="F243" s="9"/>
      <c r="G243" s="7"/>
      <c r="H243" s="8"/>
      <c r="I243" s="7"/>
      <c r="J243" s="16"/>
      <c r="K243" s="3"/>
      <c r="L243" s="3"/>
    </row>
    <row x14ac:dyDescent="0.25" r="244" customHeight="1" ht="18.75">
      <c r="A244" s="6" t="s">
        <v>667</v>
      </c>
      <c r="B244" s="11"/>
      <c r="C244" s="11"/>
      <c r="D244" s="8"/>
      <c r="E244" s="8"/>
      <c r="F244" s="9"/>
      <c r="G244" s="7"/>
      <c r="H244" s="8"/>
      <c r="I244" s="7"/>
      <c r="J244" s="16"/>
      <c r="K244" s="3"/>
      <c r="L244" s="3"/>
    </row>
    <row x14ac:dyDescent="0.25" r="245" customHeight="1" ht="18.75">
      <c r="A245" s="6" t="s">
        <v>668</v>
      </c>
      <c r="B245" s="11"/>
      <c r="C245" s="11"/>
      <c r="D245" s="8"/>
      <c r="E245" s="8"/>
      <c r="F245" s="9"/>
      <c r="G245" s="7"/>
      <c r="H245" s="8"/>
      <c r="I245" s="7"/>
      <c r="J245" s="16"/>
      <c r="K245" s="3"/>
      <c r="L245" s="3"/>
    </row>
    <row x14ac:dyDescent="0.25" r="246" customHeight="1" ht="18.75">
      <c r="A246" s="6" t="s">
        <v>669</v>
      </c>
      <c r="B246" s="11"/>
      <c r="C246" s="11"/>
      <c r="D246" s="8"/>
      <c r="E246" s="8"/>
      <c r="F246" s="9"/>
      <c r="G246" s="7"/>
      <c r="H246" s="8"/>
      <c r="I246" s="7"/>
      <c r="J246" s="16"/>
      <c r="K246" s="3"/>
      <c r="L246" s="3"/>
    </row>
    <row x14ac:dyDescent="0.25" r="247" customHeight="1" ht="18.75">
      <c r="A247" s="17"/>
      <c r="B247" s="17"/>
      <c r="C247" s="3"/>
      <c r="D247" s="3"/>
      <c r="E247" s="3"/>
      <c r="F247" s="3"/>
      <c r="G247" s="3"/>
      <c r="H247" s="3"/>
      <c r="I247" s="3"/>
      <c r="J247" s="3"/>
      <c r="K247" s="3"/>
      <c r="L247" s="3"/>
    </row>
    <row x14ac:dyDescent="0.25" r="248" customHeight="1" ht="18.75">
      <c r="A248" s="17"/>
      <c r="B248" s="17"/>
      <c r="C248" s="3"/>
      <c r="D248" s="3"/>
      <c r="E248" s="3"/>
      <c r="F248" s="3"/>
      <c r="G248" s="3"/>
      <c r="H248" s="3"/>
      <c r="I248" s="3"/>
      <c r="J248" s="3"/>
      <c r="K248" s="3"/>
      <c r="L248" s="3"/>
    </row>
    <row x14ac:dyDescent="0.25" r="249" customHeight="1" ht="18.75">
      <c r="A249" s="17"/>
      <c r="B249" s="17"/>
      <c r="C249" s="3"/>
      <c r="D249" s="3"/>
      <c r="E249" s="3"/>
      <c r="F249" s="3"/>
      <c r="G249" s="3"/>
      <c r="H249" s="3"/>
      <c r="I249" s="3"/>
      <c r="J249" s="3"/>
      <c r="K249" s="3"/>
      <c r="L249" s="3"/>
    </row>
    <row x14ac:dyDescent="0.25" r="250" customHeight="1" ht="18.75">
      <c r="A250" s="17"/>
      <c r="B250" s="17"/>
      <c r="C250" s="3"/>
      <c r="D250" s="3"/>
      <c r="E250" s="3"/>
      <c r="F250" s="3"/>
      <c r="G250" s="3"/>
      <c r="H250" s="3"/>
      <c r="I250" s="3"/>
      <c r="J250" s="3"/>
      <c r="K250" s="3"/>
      <c r="L250" s="3"/>
    </row>
    <row x14ac:dyDescent="0.25" r="251" customHeight="1" ht="18.75">
      <c r="A251" s="17"/>
      <c r="B251" s="17"/>
      <c r="C251" s="3"/>
      <c r="D251" s="3"/>
      <c r="E251" s="3"/>
      <c r="F251" s="3"/>
      <c r="G251" s="3"/>
      <c r="H251" s="3"/>
      <c r="I251" s="3"/>
      <c r="J251" s="3"/>
      <c r="K251" s="3"/>
      <c r="L251" s="3"/>
    </row>
    <row x14ac:dyDescent="0.25" r="252" customHeight="1" ht="18.75">
      <c r="A252" s="17"/>
      <c r="B252" s="17"/>
      <c r="C252" s="3"/>
      <c r="D252" s="3"/>
      <c r="E252" s="3"/>
      <c r="F252" s="3"/>
      <c r="G252" s="3"/>
      <c r="H252" s="3"/>
      <c r="I252" s="3"/>
      <c r="J252" s="3"/>
      <c r="K252" s="3"/>
      <c r="L252" s="3"/>
    </row>
    <row x14ac:dyDescent="0.25" r="253" customHeight="1" ht="18.75">
      <c r="A253" s="17"/>
      <c r="B253" s="17"/>
      <c r="C253" s="3"/>
      <c r="D253" s="3"/>
      <c r="E253" s="3"/>
      <c r="F253" s="3"/>
      <c r="G253" s="3"/>
      <c r="H253" s="3"/>
      <c r="I253" s="3"/>
      <c r="J253" s="3"/>
      <c r="K253" s="3"/>
      <c r="L253" s="3"/>
    </row>
    <row x14ac:dyDescent="0.25" r="254" customHeight="1" ht="18.75">
      <c r="A254" s="17"/>
      <c r="B254" s="17"/>
      <c r="C254" s="3"/>
      <c r="D254" s="3"/>
      <c r="E254" s="3"/>
      <c r="F254" s="3"/>
      <c r="G254" s="3"/>
      <c r="H254" s="3"/>
      <c r="I254" s="3"/>
      <c r="J254" s="3"/>
      <c r="K254" s="3"/>
      <c r="L254" s="3"/>
    </row>
    <row x14ac:dyDescent="0.25" r="255" customHeight="1" ht="18.75">
      <c r="A255" s="17"/>
      <c r="B255" s="17"/>
      <c r="C255" s="3"/>
      <c r="D255" s="3"/>
      <c r="E255" s="3"/>
      <c r="F255" s="3"/>
      <c r="G255" s="3"/>
      <c r="H255" s="3"/>
      <c r="I255" s="3"/>
      <c r="J255" s="3"/>
      <c r="K255" s="3"/>
      <c r="L255" s="3"/>
    </row>
    <row x14ac:dyDescent="0.25" r="256" customHeight="1" ht="18.75">
      <c r="A256" s="17"/>
      <c r="B256" s="17"/>
      <c r="C256" s="3"/>
      <c r="D256" s="3"/>
      <c r="E256" s="3"/>
      <c r="F256" s="3"/>
      <c r="G256" s="3"/>
      <c r="H256" s="3"/>
      <c r="I256" s="3"/>
      <c r="J256" s="3"/>
      <c r="K256" s="3"/>
      <c r="L256" s="3"/>
    </row>
    <row x14ac:dyDescent="0.25" r="257" customHeight="1" ht="18.75">
      <c r="A257" s="17"/>
      <c r="B257" s="17"/>
      <c r="C257" s="3"/>
      <c r="D257" s="3"/>
      <c r="E257" s="3"/>
      <c r="F257" s="3"/>
      <c r="G257" s="3"/>
      <c r="H257" s="3"/>
      <c r="I257" s="3"/>
      <c r="J257" s="3"/>
      <c r="K257" s="3"/>
      <c r="L257" s="3"/>
    </row>
    <row x14ac:dyDescent="0.25" r="258" customHeight="1" ht="18.75">
      <c r="A258" s="17"/>
      <c r="B258" s="17"/>
      <c r="C258" s="3"/>
      <c r="D258" s="3"/>
      <c r="E258" s="3"/>
      <c r="F258" s="3"/>
      <c r="G258" s="3"/>
      <c r="H258" s="3"/>
      <c r="I258" s="3"/>
      <c r="J258" s="3"/>
      <c r="K258" s="3"/>
      <c r="L258" s="3"/>
    </row>
    <row x14ac:dyDescent="0.25" r="259" customHeight="1" ht="18.75">
      <c r="A259" s="17"/>
      <c r="B259" s="17"/>
      <c r="C259" s="3"/>
      <c r="D259" s="3"/>
      <c r="E259" s="3"/>
      <c r="F259" s="3"/>
      <c r="G259" s="3"/>
      <c r="H259" s="3"/>
      <c r="I259" s="3"/>
      <c r="J259" s="3"/>
      <c r="K259" s="3"/>
      <c r="L259" s="3"/>
    </row>
    <row x14ac:dyDescent="0.25" r="260" customHeight="1" ht="18.75">
      <c r="A260" s="17"/>
      <c r="B260" s="17"/>
      <c r="C260" s="3"/>
      <c r="D260" s="3"/>
      <c r="E260" s="3"/>
      <c r="F260" s="3"/>
      <c r="G260" s="3"/>
      <c r="H260" s="3"/>
      <c r="I260" s="3"/>
      <c r="J260" s="3"/>
      <c r="K260" s="3"/>
      <c r="L260" s="3"/>
    </row>
    <row x14ac:dyDescent="0.25" r="261" customHeight="1" ht="18.75">
      <c r="A261" s="17"/>
      <c r="B261" s="17"/>
      <c r="C261" s="3"/>
      <c r="D261" s="3"/>
      <c r="E261" s="3"/>
      <c r="F261" s="3"/>
      <c r="G261" s="3"/>
      <c r="H261" s="3"/>
      <c r="I261" s="3"/>
      <c r="J261" s="3"/>
      <c r="K261" s="3"/>
      <c r="L261" s="3"/>
    </row>
    <row x14ac:dyDescent="0.25" r="262" customHeight="1" ht="18.75">
      <c r="A262" s="17"/>
      <c r="B262" s="17"/>
      <c r="C262" s="3"/>
      <c r="D262" s="3"/>
      <c r="E262" s="3"/>
      <c r="F262" s="3"/>
      <c r="G262" s="3"/>
      <c r="H262" s="3"/>
      <c r="I262" s="3"/>
      <c r="J262" s="3"/>
      <c r="K262" s="3"/>
      <c r="L262" s="3"/>
    </row>
    <row x14ac:dyDescent="0.25" r="263" customHeight="1" ht="18.75">
      <c r="A263" s="17"/>
      <c r="B263" s="17"/>
      <c r="C263" s="3"/>
      <c r="D263" s="3"/>
      <c r="E263" s="3"/>
      <c r="F263" s="3"/>
      <c r="G263" s="3"/>
      <c r="H263" s="3"/>
      <c r="I263" s="3"/>
      <c r="J263" s="3"/>
      <c r="K263" s="3"/>
      <c r="L263" s="3"/>
    </row>
    <row x14ac:dyDescent="0.25" r="264" customHeight="1" ht="18.75">
      <c r="A264" s="17"/>
      <c r="B264" s="17"/>
      <c r="C264" s="3"/>
      <c r="D264" s="3"/>
      <c r="E264" s="3"/>
      <c r="F264" s="3"/>
      <c r="G264" s="3"/>
      <c r="H264" s="3"/>
      <c r="I264" s="3"/>
      <c r="J264" s="3"/>
      <c r="K264" s="3"/>
      <c r="L264" s="3"/>
    </row>
    <row x14ac:dyDescent="0.25" r="265" customHeight="1" ht="18.75">
      <c r="A265" s="17"/>
      <c r="B265" s="17"/>
      <c r="C265" s="3"/>
      <c r="D265" s="3"/>
      <c r="E265" s="3"/>
      <c r="F265" s="3"/>
      <c r="G265" s="3"/>
      <c r="H265" s="3"/>
      <c r="I265" s="3"/>
      <c r="J265" s="3"/>
      <c r="K265" s="3"/>
      <c r="L265" s="3"/>
    </row>
    <row x14ac:dyDescent="0.25" r="266" customHeight="1" ht="18.75">
      <c r="A266" s="17"/>
      <c r="B266" s="17"/>
      <c r="C266" s="3"/>
      <c r="D266" s="3"/>
      <c r="E266" s="3"/>
      <c r="F266" s="3"/>
      <c r="G266" s="3"/>
      <c r="H266" s="3"/>
      <c r="I266" s="3"/>
      <c r="J266" s="3"/>
      <c r="K266" s="3"/>
      <c r="L266" s="3"/>
    </row>
    <row x14ac:dyDescent="0.25" r="267" customHeight="1" ht="18.75">
      <c r="A267" s="17"/>
      <c r="B267" s="17"/>
      <c r="C267" s="3"/>
      <c r="D267" s="3"/>
      <c r="E267" s="3"/>
      <c r="F267" s="3"/>
      <c r="G267" s="3"/>
      <c r="H267" s="3"/>
      <c r="I267" s="3"/>
      <c r="J267" s="3"/>
      <c r="K267" s="3"/>
      <c r="L267" s="3"/>
    </row>
    <row x14ac:dyDescent="0.25" r="268" customHeight="1" ht="18.75">
      <c r="A268" s="17"/>
      <c r="B268" s="17"/>
      <c r="C268" s="3"/>
      <c r="D268" s="3"/>
      <c r="E268" s="3"/>
      <c r="F268" s="3"/>
      <c r="G268" s="3"/>
      <c r="H268" s="3"/>
      <c r="I268" s="3"/>
      <c r="J268" s="3"/>
      <c r="K268" s="3"/>
      <c r="L268" s="3"/>
    </row>
    <row x14ac:dyDescent="0.25" r="269" customHeight="1" ht="18.75">
      <c r="A269" s="17"/>
      <c r="B269" s="17"/>
      <c r="C269" s="3"/>
      <c r="D269" s="3"/>
      <c r="E269" s="3"/>
      <c r="F269" s="3"/>
      <c r="G269" s="3"/>
      <c r="H269" s="3"/>
      <c r="I269" s="3"/>
      <c r="J269" s="3"/>
      <c r="K269" s="3"/>
      <c r="L269" s="3"/>
    </row>
    <row x14ac:dyDescent="0.25" r="270" customHeight="1" ht="18.75">
      <c r="A270" s="17"/>
      <c r="B270" s="17"/>
      <c r="C270" s="3"/>
      <c r="D270" s="3"/>
      <c r="E270" s="3"/>
      <c r="F270" s="3"/>
      <c r="G270" s="3"/>
      <c r="H270" s="3"/>
      <c r="I270" s="3"/>
      <c r="J270" s="3"/>
      <c r="K270" s="3"/>
      <c r="L270" s="3"/>
    </row>
    <row x14ac:dyDescent="0.25" r="271" customHeight="1" ht="18.75">
      <c r="A271" s="17"/>
      <c r="B271" s="17"/>
      <c r="C271" s="3"/>
      <c r="D271" s="3"/>
      <c r="E271" s="3"/>
      <c r="F271" s="3"/>
      <c r="G271" s="3"/>
      <c r="H271" s="3"/>
      <c r="I271" s="3"/>
      <c r="J271" s="3"/>
      <c r="K271" s="3"/>
      <c r="L271" s="3"/>
    </row>
    <row x14ac:dyDescent="0.25" r="272" customHeight="1" ht="18.75">
      <c r="A272" s="17"/>
      <c r="B272" s="17"/>
      <c r="C272" s="3"/>
      <c r="D272" s="3"/>
      <c r="E272" s="3"/>
      <c r="F272" s="3"/>
      <c r="G272" s="3"/>
      <c r="H272" s="3"/>
      <c r="I272" s="3"/>
      <c r="J272" s="3"/>
      <c r="K272" s="3"/>
      <c r="L272" s="3"/>
    </row>
    <row x14ac:dyDescent="0.25" r="273" customHeight="1" ht="18.75">
      <c r="A273" s="17"/>
      <c r="B273" s="17"/>
      <c r="C273" s="3"/>
      <c r="D273" s="3"/>
      <c r="E273" s="3"/>
      <c r="F273" s="3"/>
      <c r="G273" s="3"/>
      <c r="H273" s="3"/>
      <c r="I273" s="3"/>
      <c r="J273" s="3"/>
      <c r="K273" s="3"/>
      <c r="L273" s="3"/>
    </row>
    <row x14ac:dyDescent="0.25" r="274" customHeight="1" ht="18.75">
      <c r="A274" s="17"/>
      <c r="B274" s="17"/>
      <c r="C274" s="3"/>
      <c r="D274" s="3"/>
      <c r="E274" s="3"/>
      <c r="F274" s="3"/>
      <c r="G274" s="3"/>
      <c r="H274" s="3"/>
      <c r="I274" s="3"/>
      <c r="J274" s="3"/>
      <c r="K274" s="3"/>
      <c r="L274" s="3"/>
    </row>
    <row x14ac:dyDescent="0.25" r="275" customHeight="1" ht="18.75">
      <c r="A275" s="17"/>
      <c r="B275" s="17"/>
      <c r="C275" s="3"/>
      <c r="D275" s="3"/>
      <c r="E275" s="3"/>
      <c r="F275" s="3"/>
      <c r="G275" s="3"/>
      <c r="H275" s="3"/>
      <c r="I275" s="3"/>
      <c r="J275" s="3"/>
      <c r="K275" s="3"/>
      <c r="L275" s="3"/>
    </row>
    <row x14ac:dyDescent="0.25" r="276" customHeight="1" ht="18.75">
      <c r="A276" s="17"/>
      <c r="B276" s="17"/>
      <c r="C276" s="3"/>
      <c r="D276" s="3"/>
      <c r="E276" s="3"/>
      <c r="F276" s="3"/>
      <c r="G276" s="3"/>
      <c r="H276" s="3"/>
      <c r="I276" s="3"/>
      <c r="J276" s="3"/>
      <c r="K276" s="3"/>
      <c r="L276" s="3"/>
    </row>
    <row x14ac:dyDescent="0.25" r="277" customHeight="1" ht="18.75">
      <c r="A277" s="17"/>
      <c r="B277" s="17"/>
      <c r="C277" s="3"/>
      <c r="D277" s="3"/>
      <c r="E277" s="3"/>
      <c r="F277" s="3"/>
      <c r="G277" s="3"/>
      <c r="H277" s="3"/>
      <c r="I277" s="3"/>
      <c r="J277" s="3"/>
      <c r="K277" s="3"/>
      <c r="L277" s="3"/>
    </row>
    <row x14ac:dyDescent="0.25" r="278" customHeight="1" ht="18.75">
      <c r="A278" s="17"/>
      <c r="B278" s="17"/>
      <c r="C278" s="3"/>
      <c r="D278" s="3"/>
      <c r="E278" s="3"/>
      <c r="F278" s="3"/>
      <c r="G278" s="3"/>
      <c r="H278" s="3"/>
      <c r="I278" s="3"/>
      <c r="J278" s="3"/>
      <c r="K278" s="3"/>
      <c r="L278" s="3"/>
    </row>
    <row x14ac:dyDescent="0.25" r="279" customHeight="1" ht="18.75">
      <c r="A279" s="17"/>
      <c r="B279" s="17"/>
      <c r="C279" s="3"/>
      <c r="D279" s="3"/>
      <c r="E279" s="3"/>
      <c r="F279" s="3"/>
      <c r="G279" s="3"/>
      <c r="H279" s="3"/>
      <c r="I279" s="3"/>
      <c r="J279" s="3"/>
      <c r="K279" s="3"/>
      <c r="L279" s="3"/>
    </row>
    <row x14ac:dyDescent="0.25" r="280" customHeight="1" ht="18.75">
      <c r="A280" s="17"/>
      <c r="B280" s="17"/>
      <c r="C280" s="3"/>
      <c r="D280" s="3"/>
      <c r="E280" s="3"/>
      <c r="F280" s="3"/>
      <c r="G280" s="3"/>
      <c r="H280" s="3"/>
      <c r="I280" s="3"/>
      <c r="J280" s="3"/>
      <c r="K280" s="3"/>
      <c r="L280" s="3"/>
    </row>
    <row x14ac:dyDescent="0.25" r="281" customHeight="1" ht="18.75">
      <c r="A281" s="17"/>
      <c r="B281" s="17"/>
      <c r="C281" s="3"/>
      <c r="D281" s="3"/>
      <c r="E281" s="3"/>
      <c r="F281" s="3"/>
      <c r="G281" s="3"/>
      <c r="H281" s="3"/>
      <c r="I281" s="3"/>
      <c r="J281" s="3"/>
      <c r="K281" s="3"/>
      <c r="L281" s="3"/>
    </row>
    <row x14ac:dyDescent="0.25" r="282" customHeight="1" ht="18.75">
      <c r="A282" s="17"/>
      <c r="B282" s="17"/>
      <c r="C282" s="3"/>
      <c r="D282" s="3"/>
      <c r="E282" s="3"/>
      <c r="F282" s="3"/>
      <c r="G282" s="3"/>
      <c r="H282" s="3"/>
      <c r="I282" s="3"/>
      <c r="J282" s="3"/>
      <c r="K282" s="3"/>
      <c r="L282" s="3"/>
    </row>
    <row x14ac:dyDescent="0.25" r="283" customHeight="1" ht="18.75">
      <c r="A283" s="17"/>
      <c r="B283" s="17"/>
      <c r="C283" s="3"/>
      <c r="D283" s="3"/>
      <c r="E283" s="3"/>
      <c r="F283" s="3"/>
      <c r="G283" s="3"/>
      <c r="H283" s="3"/>
      <c r="I283" s="3"/>
      <c r="J283" s="3"/>
      <c r="K283" s="3"/>
      <c r="L283" s="3"/>
    </row>
    <row x14ac:dyDescent="0.25" r="284" customHeight="1" ht="18.75">
      <c r="A284" s="17"/>
      <c r="B284" s="17"/>
      <c r="C284" s="3"/>
      <c r="D284" s="3"/>
      <c r="E284" s="3"/>
      <c r="F284" s="3"/>
      <c r="G284" s="3"/>
      <c r="H284" s="3"/>
      <c r="I284" s="3"/>
      <c r="J284" s="3"/>
      <c r="K284" s="3"/>
      <c r="L284" s="3"/>
    </row>
    <row x14ac:dyDescent="0.25" r="285" customHeight="1" ht="18.75">
      <c r="A285" s="17"/>
      <c r="B285" s="17"/>
      <c r="C285" s="3"/>
      <c r="D285" s="3"/>
      <c r="E285" s="3"/>
      <c r="F285" s="3"/>
      <c r="G285" s="3"/>
      <c r="H285" s="3"/>
      <c r="I285" s="3"/>
      <c r="J285" s="3"/>
      <c r="K285" s="3"/>
      <c r="L285" s="3"/>
    </row>
    <row x14ac:dyDescent="0.25" r="286" customHeight="1" ht="18.75">
      <c r="A286" s="17"/>
      <c r="B286" s="17"/>
      <c r="C286" s="3"/>
      <c r="D286" s="3"/>
      <c r="E286" s="3"/>
      <c r="F286" s="3"/>
      <c r="G286" s="3"/>
      <c r="H286" s="3"/>
      <c r="I286" s="3"/>
      <c r="J286" s="3"/>
      <c r="K286" s="3"/>
      <c r="L286" s="3"/>
    </row>
    <row x14ac:dyDescent="0.25" r="287" customHeight="1" ht="18.75">
      <c r="A287" s="17"/>
      <c r="B287" s="17"/>
      <c r="C287" s="3"/>
      <c r="D287" s="3"/>
      <c r="E287" s="3"/>
      <c r="F287" s="3"/>
      <c r="G287" s="3"/>
      <c r="H287" s="3"/>
      <c r="I287" s="3"/>
      <c r="J287" s="3"/>
      <c r="K287" s="3"/>
      <c r="L287" s="3"/>
    </row>
    <row x14ac:dyDescent="0.25" r="288" customHeight="1" ht="18.75">
      <c r="A288" s="17"/>
      <c r="B288" s="17"/>
      <c r="C288" s="3"/>
      <c r="D288" s="3"/>
      <c r="E288" s="3"/>
      <c r="F288" s="3"/>
      <c r="G288" s="3"/>
      <c r="H288" s="3"/>
      <c r="I288" s="3"/>
      <c r="J288" s="3"/>
      <c r="K288" s="3"/>
      <c r="L288" s="3"/>
    </row>
    <row x14ac:dyDescent="0.25" r="289" customHeight="1" ht="18.75">
      <c r="A289" s="17"/>
      <c r="B289" s="17"/>
      <c r="C289" s="3"/>
      <c r="D289" s="3"/>
      <c r="E289" s="3"/>
      <c r="F289" s="3"/>
      <c r="G289" s="3"/>
      <c r="H289" s="3"/>
      <c r="I289" s="3"/>
      <c r="J289" s="3"/>
      <c r="K289" s="3"/>
      <c r="L289" s="3"/>
    </row>
    <row x14ac:dyDescent="0.25" r="290" customHeight="1" ht="18.75">
      <c r="A290" s="17"/>
      <c r="B290" s="17"/>
      <c r="C290" s="3"/>
      <c r="D290" s="3"/>
      <c r="E290" s="3"/>
      <c r="F290" s="3"/>
      <c r="G290" s="3"/>
      <c r="H290" s="3"/>
      <c r="I290" s="3"/>
      <c r="J290" s="3"/>
      <c r="K290" s="3"/>
      <c r="L290" s="3"/>
    </row>
    <row x14ac:dyDescent="0.25" r="291" customHeight="1" ht="18.75">
      <c r="A291" s="17"/>
      <c r="B291" s="17"/>
      <c r="C291" s="3"/>
      <c r="D291" s="3"/>
      <c r="E291" s="3"/>
      <c r="F291" s="3"/>
      <c r="G291" s="3"/>
      <c r="H291" s="3"/>
      <c r="I291" s="3"/>
      <c r="J291" s="3"/>
      <c r="K291" s="3"/>
      <c r="L291" s="3"/>
    </row>
    <row x14ac:dyDescent="0.25" r="292" customHeight="1" ht="18.75">
      <c r="A292" s="17"/>
      <c r="B292" s="17"/>
      <c r="C292" s="3"/>
      <c r="D292" s="3"/>
      <c r="E292" s="3"/>
      <c r="F292" s="3"/>
      <c r="G292" s="3"/>
      <c r="H292" s="3"/>
      <c r="I292" s="3"/>
      <c r="J292" s="3"/>
      <c r="K292" s="3"/>
      <c r="L292" s="3"/>
    </row>
    <row x14ac:dyDescent="0.25" r="293" customHeight="1" ht="18.75">
      <c r="A293" s="17"/>
      <c r="B293" s="17"/>
      <c r="C293" s="3"/>
      <c r="D293" s="3"/>
      <c r="E293" s="3"/>
      <c r="F293" s="3"/>
      <c r="G293" s="3"/>
      <c r="H293" s="3"/>
      <c r="I293" s="3"/>
      <c r="J293" s="3"/>
      <c r="K293" s="3"/>
      <c r="L293" s="3"/>
    </row>
    <row x14ac:dyDescent="0.25" r="294" customHeight="1" ht="18.75">
      <c r="A294" s="17"/>
      <c r="B294" s="17"/>
      <c r="C294" s="3"/>
      <c r="D294" s="3"/>
      <c r="E294" s="3"/>
      <c r="F294" s="3"/>
      <c r="G294" s="3"/>
      <c r="H294" s="3"/>
      <c r="I294" s="3"/>
      <c r="J294" s="3"/>
      <c r="K294" s="3"/>
      <c r="L294" s="3"/>
    </row>
    <row x14ac:dyDescent="0.25" r="295" customHeight="1" ht="18.75">
      <c r="A295" s="17"/>
      <c r="B295" s="17"/>
      <c r="C295" s="3"/>
      <c r="D295" s="3"/>
      <c r="E295" s="3"/>
      <c r="F295" s="3"/>
      <c r="G295" s="3"/>
      <c r="H295" s="3"/>
      <c r="I295" s="3"/>
      <c r="J295" s="3"/>
      <c r="K295" s="3"/>
      <c r="L295" s="3"/>
    </row>
    <row x14ac:dyDescent="0.25" r="296" customHeight="1" ht="18.75">
      <c r="A296" s="17"/>
      <c r="B296" s="17"/>
      <c r="C296" s="3"/>
      <c r="D296" s="3"/>
      <c r="E296" s="3"/>
      <c r="F296" s="3"/>
      <c r="G296" s="3"/>
      <c r="H296" s="3"/>
      <c r="I296" s="3"/>
      <c r="J296" s="3"/>
      <c r="K296" s="3"/>
      <c r="L296" s="3"/>
    </row>
    <row x14ac:dyDescent="0.25" r="297" customHeight="1" ht="18.75">
      <c r="A297" s="17"/>
      <c r="B297" s="17"/>
      <c r="C297" s="3"/>
      <c r="D297" s="3"/>
      <c r="E297" s="3"/>
      <c r="F297" s="3"/>
      <c r="G297" s="3"/>
      <c r="H297" s="3"/>
      <c r="I297" s="3"/>
      <c r="J297" s="3"/>
      <c r="K297" s="3"/>
      <c r="L297" s="3"/>
    </row>
    <row x14ac:dyDescent="0.25" r="298" customHeight="1" ht="18.75">
      <c r="A298" s="17"/>
      <c r="B298" s="17"/>
      <c r="C298" s="3"/>
      <c r="D298" s="3"/>
      <c r="E298" s="3"/>
      <c r="F298" s="3"/>
      <c r="G298" s="3"/>
      <c r="H298" s="3"/>
      <c r="I298" s="3"/>
      <c r="J298" s="3"/>
      <c r="K298" s="3"/>
      <c r="L298" s="3"/>
    </row>
    <row x14ac:dyDescent="0.25" r="299" customHeight="1" ht="18.75">
      <c r="A299" s="17"/>
      <c r="B299" s="17"/>
      <c r="C299" s="3"/>
      <c r="D299" s="3"/>
      <c r="E299" s="3"/>
      <c r="F299" s="3"/>
      <c r="G299" s="3"/>
      <c r="H299" s="3"/>
      <c r="I299" s="3"/>
      <c r="J299" s="3"/>
      <c r="K299" s="3"/>
      <c r="L299" s="3"/>
    </row>
    <row x14ac:dyDescent="0.25" r="300" customHeight="1" ht="18.75">
      <c r="A300" s="17"/>
      <c r="B300" s="17"/>
      <c r="C300" s="3"/>
      <c r="D300" s="3"/>
      <c r="E300" s="3"/>
      <c r="F300" s="3"/>
      <c r="G300" s="3"/>
      <c r="H300" s="3"/>
      <c r="I300" s="3"/>
      <c r="J300" s="3"/>
      <c r="K300" s="3"/>
      <c r="L300" s="3"/>
    </row>
    <row x14ac:dyDescent="0.25" r="301" customHeight="1" ht="18.75">
      <c r="A301" s="17"/>
      <c r="B301" s="17"/>
      <c r="C301" s="3"/>
      <c r="D301" s="3"/>
      <c r="E301" s="3"/>
      <c r="F301" s="3"/>
      <c r="G301" s="3"/>
      <c r="H301" s="3"/>
      <c r="I301" s="3"/>
      <c r="J301" s="3"/>
      <c r="K301" s="3"/>
      <c r="L301" s="3"/>
    </row>
    <row x14ac:dyDescent="0.25" r="302" customHeight="1" ht="18.75">
      <c r="A302" s="17"/>
      <c r="B302" s="17"/>
      <c r="C302" s="3"/>
      <c r="D302" s="3"/>
      <c r="E302" s="3"/>
      <c r="F302" s="3"/>
      <c r="G302" s="3"/>
      <c r="H302" s="3"/>
      <c r="I302" s="3"/>
      <c r="J302" s="3"/>
      <c r="K302" s="3"/>
      <c r="L302" s="3"/>
    </row>
    <row x14ac:dyDescent="0.25" r="303" customHeight="1" ht="18.75">
      <c r="A303" s="17"/>
      <c r="B303" s="17"/>
      <c r="C303" s="3"/>
      <c r="D303" s="3"/>
      <c r="E303" s="3"/>
      <c r="F303" s="3"/>
      <c r="G303" s="3"/>
      <c r="H303" s="3"/>
      <c r="I303" s="3"/>
      <c r="J303" s="3"/>
      <c r="K303" s="3"/>
      <c r="L303" s="3"/>
    </row>
    <row x14ac:dyDescent="0.25" r="304" customHeight="1" ht="18.75">
      <c r="A304" s="17"/>
      <c r="B304" s="17"/>
      <c r="C304" s="3"/>
      <c r="D304" s="3"/>
      <c r="E304" s="3"/>
      <c r="F304" s="3"/>
      <c r="G304" s="3"/>
      <c r="H304" s="3"/>
      <c r="I304" s="3"/>
      <c r="J304" s="3"/>
      <c r="K304" s="3"/>
      <c r="L304" s="3"/>
    </row>
    <row x14ac:dyDescent="0.25" r="305" customHeight="1" ht="18.75">
      <c r="A305" s="17"/>
      <c r="B305" s="17"/>
      <c r="C305" s="3"/>
      <c r="D305" s="3"/>
      <c r="E305" s="3"/>
      <c r="F305" s="3"/>
      <c r="G305" s="3"/>
      <c r="H305" s="3"/>
      <c r="I305" s="3"/>
      <c r="J305" s="3"/>
      <c r="K305" s="3"/>
      <c r="L305" s="3"/>
    </row>
    <row x14ac:dyDescent="0.25" r="306" customHeight="1" ht="18.75">
      <c r="A306" s="17"/>
      <c r="B306" s="17"/>
      <c r="C306" s="3"/>
      <c r="D306" s="3"/>
      <c r="E306" s="3"/>
      <c r="F306" s="3"/>
      <c r="G306" s="3"/>
      <c r="H306" s="3"/>
      <c r="I306" s="3"/>
      <c r="J306" s="3"/>
      <c r="K306" s="3"/>
      <c r="L306" s="3"/>
    </row>
    <row x14ac:dyDescent="0.25" r="307" customHeight="1" ht="18.75">
      <c r="A307" s="17"/>
      <c r="B307" s="17"/>
      <c r="C307" s="3"/>
      <c r="D307" s="3"/>
      <c r="E307" s="3"/>
      <c r="F307" s="3"/>
      <c r="G307" s="3"/>
      <c r="H307" s="3"/>
      <c r="I307" s="3"/>
      <c r="J307" s="3"/>
      <c r="K307" s="3"/>
      <c r="L307" s="3"/>
    </row>
    <row x14ac:dyDescent="0.25" r="308" customHeight="1" ht="18.75">
      <c r="A308" s="17"/>
      <c r="B308" s="17"/>
      <c r="C308" s="3"/>
      <c r="D308" s="3"/>
      <c r="E308" s="3"/>
      <c r="F308" s="3"/>
      <c r="G308" s="3"/>
      <c r="H308" s="3"/>
      <c r="I308" s="3"/>
      <c r="J308" s="3"/>
      <c r="K308" s="3"/>
      <c r="L308" s="3"/>
    </row>
    <row x14ac:dyDescent="0.25" r="309" customHeight="1" ht="18.75">
      <c r="A309" s="17"/>
      <c r="B309" s="17"/>
      <c r="C309" s="3"/>
      <c r="D309" s="3"/>
      <c r="E309" s="3"/>
      <c r="F309" s="3"/>
      <c r="G309" s="3"/>
      <c r="H309" s="3"/>
      <c r="I309" s="3"/>
      <c r="J309" s="3"/>
      <c r="K309" s="3"/>
      <c r="L309" s="3"/>
    </row>
    <row x14ac:dyDescent="0.25" r="310" customHeight="1" ht="18.75">
      <c r="A310" s="17"/>
      <c r="B310" s="17"/>
      <c r="C310" s="3"/>
      <c r="D310" s="3"/>
      <c r="E310" s="3"/>
      <c r="F310" s="3"/>
      <c r="G310" s="3"/>
      <c r="H310" s="3"/>
      <c r="I310" s="3"/>
      <c r="J310" s="3"/>
      <c r="K310" s="3"/>
      <c r="L310" s="3"/>
    </row>
    <row x14ac:dyDescent="0.25" r="311" customHeight="1" ht="18.75">
      <c r="A311" s="17"/>
      <c r="B311" s="17"/>
      <c r="C311" s="3"/>
      <c r="D311" s="3"/>
      <c r="E311" s="3"/>
      <c r="F311" s="3"/>
      <c r="G311" s="3"/>
      <c r="H311" s="3"/>
      <c r="I311" s="3"/>
      <c r="J311" s="3"/>
      <c r="K311" s="3"/>
      <c r="L311" s="3"/>
    </row>
    <row x14ac:dyDescent="0.25" r="312" customHeight="1" ht="18.75">
      <c r="A312" s="17"/>
      <c r="B312" s="17"/>
      <c r="C312" s="3"/>
      <c r="D312" s="3"/>
      <c r="E312" s="3"/>
      <c r="F312" s="3"/>
      <c r="G312" s="3"/>
      <c r="H312" s="3"/>
      <c r="I312" s="3"/>
      <c r="J312" s="3"/>
      <c r="K312" s="3"/>
      <c r="L312" s="3"/>
    </row>
    <row x14ac:dyDescent="0.25" r="313" customHeight="1" ht="18.75">
      <c r="A313" s="17"/>
      <c r="B313" s="17"/>
      <c r="C313" s="3"/>
      <c r="D313" s="3"/>
      <c r="E313" s="3"/>
      <c r="F313" s="3"/>
      <c r="G313" s="3"/>
      <c r="H313" s="3"/>
      <c r="I313" s="3"/>
      <c r="J313" s="3"/>
      <c r="K313" s="3"/>
      <c r="L313" s="3"/>
    </row>
    <row x14ac:dyDescent="0.25" r="314" customHeight="1" ht="18.75">
      <c r="A314" s="17"/>
      <c r="B314" s="17"/>
      <c r="C314" s="3"/>
      <c r="D314" s="3"/>
      <c r="E314" s="3"/>
      <c r="F314" s="3"/>
      <c r="G314" s="3"/>
      <c r="H314" s="3"/>
      <c r="I314" s="3"/>
      <c r="J314" s="3"/>
      <c r="K314" s="3"/>
      <c r="L314" s="3"/>
    </row>
    <row x14ac:dyDescent="0.25" r="315" customHeight="1" ht="18.75">
      <c r="A315" s="17"/>
      <c r="B315" s="17"/>
      <c r="C315" s="3"/>
      <c r="D315" s="3"/>
      <c r="E315" s="3"/>
      <c r="F315" s="3"/>
      <c r="G315" s="3"/>
      <c r="H315" s="3"/>
      <c r="I315" s="3"/>
      <c r="J315" s="3"/>
      <c r="K315" s="3"/>
      <c r="L315" s="3"/>
    </row>
    <row x14ac:dyDescent="0.25" r="316" customHeight="1" ht="18.75">
      <c r="A316" s="17"/>
      <c r="B316" s="17"/>
      <c r="C316" s="3"/>
      <c r="D316" s="3"/>
      <c r="E316" s="3"/>
      <c r="F316" s="3"/>
      <c r="G316" s="3"/>
      <c r="H316" s="3"/>
      <c r="I316" s="3"/>
      <c r="J316" s="3"/>
      <c r="K316" s="3"/>
      <c r="L316" s="3"/>
    </row>
    <row x14ac:dyDescent="0.25" r="317" customHeight="1" ht="18.75">
      <c r="A317" s="17"/>
      <c r="B317" s="17"/>
      <c r="C317" s="3"/>
      <c r="D317" s="3"/>
      <c r="E317" s="3"/>
      <c r="F317" s="3"/>
      <c r="G317" s="3"/>
      <c r="H317" s="3"/>
      <c r="I317" s="3"/>
      <c r="J317" s="3"/>
      <c r="K317" s="3"/>
      <c r="L317" s="3"/>
    </row>
    <row x14ac:dyDescent="0.25" r="318" customHeight="1" ht="18.75">
      <c r="A318" s="17"/>
      <c r="B318" s="17"/>
      <c r="C318" s="3"/>
      <c r="D318" s="3"/>
      <c r="E318" s="3"/>
      <c r="F318" s="3"/>
      <c r="G318" s="3"/>
      <c r="H318" s="3"/>
      <c r="I318" s="3"/>
      <c r="J318" s="3"/>
      <c r="K318" s="3"/>
      <c r="L318" s="3"/>
    </row>
    <row x14ac:dyDescent="0.25" r="319" customHeight="1" ht="18.75">
      <c r="A319" s="17"/>
      <c r="B319" s="17"/>
      <c r="C319" s="3"/>
      <c r="D319" s="3"/>
      <c r="E319" s="3"/>
      <c r="F319" s="3"/>
      <c r="G319" s="3"/>
      <c r="H319" s="3"/>
      <c r="I319" s="3"/>
      <c r="J319" s="3"/>
      <c r="K319" s="3"/>
      <c r="L319" s="3"/>
    </row>
    <row x14ac:dyDescent="0.25" r="320" customHeight="1" ht="18.75">
      <c r="A320" s="17"/>
      <c r="B320" s="17"/>
      <c r="C320" s="3"/>
      <c r="D320" s="3"/>
      <c r="E320" s="3"/>
      <c r="F320" s="3"/>
      <c r="G320" s="3"/>
      <c r="H320" s="3"/>
      <c r="I320" s="3"/>
      <c r="J320" s="3"/>
      <c r="K320" s="3"/>
      <c r="L320" s="3"/>
    </row>
    <row x14ac:dyDescent="0.25" r="321" customHeight="1" ht="18.75">
      <c r="A321" s="17"/>
      <c r="B321" s="17"/>
      <c r="C321" s="3"/>
      <c r="D321" s="3"/>
      <c r="E321" s="3"/>
      <c r="F321" s="3"/>
      <c r="G321" s="3"/>
      <c r="H321" s="3"/>
      <c r="I321" s="3"/>
      <c r="J321" s="3"/>
      <c r="K321" s="3"/>
      <c r="L321" s="3"/>
    </row>
    <row x14ac:dyDescent="0.25" r="322" customHeight="1" ht="18.75">
      <c r="A322" s="17"/>
      <c r="B322" s="17"/>
      <c r="C322" s="3"/>
      <c r="D322" s="3"/>
      <c r="E322" s="3"/>
      <c r="F322" s="3"/>
      <c r="G322" s="3"/>
      <c r="H322" s="3"/>
      <c r="I322" s="3"/>
      <c r="J322" s="3"/>
      <c r="K322" s="3"/>
      <c r="L322" s="3"/>
    </row>
    <row x14ac:dyDescent="0.25" r="323" customHeight="1" ht="18.75">
      <c r="A323" s="17"/>
      <c r="B323" s="17"/>
      <c r="C323" s="3"/>
      <c r="D323" s="3"/>
      <c r="E323" s="3"/>
      <c r="F323" s="3"/>
      <c r="G323" s="3"/>
      <c r="H323" s="3"/>
      <c r="I323" s="3"/>
      <c r="J323" s="3"/>
      <c r="K323" s="3"/>
      <c r="L323" s="3"/>
    </row>
    <row x14ac:dyDescent="0.25" r="324" customHeight="1" ht="18.75">
      <c r="A324" s="17"/>
      <c r="B324" s="17"/>
      <c r="C324" s="3"/>
      <c r="D324" s="3"/>
      <c r="E324" s="3"/>
      <c r="F324" s="3"/>
      <c r="G324" s="3"/>
      <c r="H324" s="3"/>
      <c r="I324" s="3"/>
      <c r="J324" s="3"/>
      <c r="K324" s="3"/>
      <c r="L324" s="3"/>
    </row>
    <row x14ac:dyDescent="0.25" r="325" customHeight="1" ht="18.75">
      <c r="A325" s="17"/>
      <c r="B325" s="17"/>
      <c r="C325" s="3"/>
      <c r="D325" s="3"/>
      <c r="E325" s="3"/>
      <c r="F325" s="3"/>
      <c r="G325" s="3"/>
      <c r="H325" s="3"/>
      <c r="I325" s="3"/>
      <c r="J325" s="3"/>
      <c r="K325" s="3"/>
      <c r="L325" s="3"/>
    </row>
    <row x14ac:dyDescent="0.25" r="326" customHeight="1" ht="18.75">
      <c r="A326" s="17"/>
      <c r="B326" s="17"/>
      <c r="C326" s="3"/>
      <c r="D326" s="3"/>
      <c r="E326" s="3"/>
      <c r="F326" s="3"/>
      <c r="G326" s="3"/>
      <c r="H326" s="3"/>
      <c r="I326" s="3"/>
      <c r="J326" s="3"/>
      <c r="K326" s="3"/>
      <c r="L326" s="3"/>
    </row>
    <row x14ac:dyDescent="0.25" r="327" customHeight="1" ht="18.75">
      <c r="A327" s="17"/>
      <c r="B327" s="17"/>
      <c r="C327" s="3"/>
      <c r="D327" s="3"/>
      <c r="E327" s="3"/>
      <c r="F327" s="3"/>
      <c r="G327" s="3"/>
      <c r="H327" s="3"/>
      <c r="I327" s="3"/>
      <c r="J327" s="3"/>
      <c r="K327" s="3"/>
      <c r="L327" s="3"/>
    </row>
    <row x14ac:dyDescent="0.25" r="328" customHeight="1" ht="18.75">
      <c r="A328" s="17"/>
      <c r="B328" s="17"/>
      <c r="C328" s="3"/>
      <c r="D328" s="3"/>
      <c r="E328" s="3"/>
      <c r="F328" s="3"/>
      <c r="G328" s="3"/>
      <c r="H328" s="3"/>
      <c r="I328" s="3"/>
      <c r="J328" s="3"/>
      <c r="K328" s="3"/>
      <c r="L328" s="3"/>
    </row>
    <row x14ac:dyDescent="0.25" r="329" customHeight="1" ht="18.75">
      <c r="A329" s="17"/>
      <c r="B329" s="17"/>
      <c r="C329" s="3"/>
      <c r="D329" s="3"/>
      <c r="E329" s="3"/>
      <c r="F329" s="3"/>
      <c r="G329" s="3"/>
      <c r="H329" s="3"/>
      <c r="I329" s="3"/>
      <c r="J329" s="3"/>
      <c r="K329" s="3"/>
      <c r="L329" s="3"/>
    </row>
    <row x14ac:dyDescent="0.25" r="330" customHeight="1" ht="18.75">
      <c r="A330" s="17"/>
      <c r="B330" s="17"/>
      <c r="C330" s="3"/>
      <c r="D330" s="3"/>
      <c r="E330" s="3"/>
      <c r="F330" s="3"/>
      <c r="G330" s="3"/>
      <c r="H330" s="3"/>
      <c r="I330" s="3"/>
      <c r="J330" s="3"/>
      <c r="K330" s="3"/>
      <c r="L330" s="3"/>
    </row>
    <row x14ac:dyDescent="0.25" r="331" customHeight="1" ht="18.75">
      <c r="A331" s="17"/>
      <c r="B331" s="17"/>
      <c r="C331" s="3"/>
      <c r="D331" s="3"/>
      <c r="E331" s="3"/>
      <c r="F331" s="3"/>
      <c r="G331" s="3"/>
      <c r="H331" s="3"/>
      <c r="I331" s="3"/>
      <c r="J331" s="3"/>
      <c r="K331" s="3"/>
      <c r="L331" s="3"/>
    </row>
    <row x14ac:dyDescent="0.25" r="332" customHeight="1" ht="18.75">
      <c r="A332" s="17"/>
      <c r="B332" s="17"/>
      <c r="C332" s="3"/>
      <c r="D332" s="3"/>
      <c r="E332" s="3"/>
      <c r="F332" s="3"/>
      <c r="G332" s="3"/>
      <c r="H332" s="3"/>
      <c r="I332" s="3"/>
      <c r="J332" s="3"/>
      <c r="K332" s="3"/>
      <c r="L332" s="3"/>
    </row>
    <row x14ac:dyDescent="0.25" r="333" customHeight="1" ht="18.75">
      <c r="A333" s="17"/>
      <c r="B333" s="17"/>
      <c r="C333" s="3"/>
      <c r="D333" s="3"/>
      <c r="E333" s="3"/>
      <c r="F333" s="3"/>
      <c r="G333" s="3"/>
      <c r="H333" s="3"/>
      <c r="I333" s="3"/>
      <c r="J333" s="3"/>
      <c r="K333" s="3"/>
      <c r="L333" s="3"/>
    </row>
    <row x14ac:dyDescent="0.25" r="334" customHeight="1" ht="18.75">
      <c r="A334" s="17"/>
      <c r="B334" s="17"/>
      <c r="C334" s="3"/>
      <c r="D334" s="3"/>
      <c r="E334" s="3"/>
      <c r="F334" s="3"/>
      <c r="G334" s="3"/>
      <c r="H334" s="3"/>
      <c r="I334" s="3"/>
      <c r="J334" s="3"/>
      <c r="K334" s="3"/>
      <c r="L334" s="3"/>
    </row>
    <row x14ac:dyDescent="0.25" r="335" customHeight="1" ht="18.75">
      <c r="A335" s="17"/>
      <c r="B335" s="17"/>
      <c r="C335" s="3"/>
      <c r="D335" s="3"/>
      <c r="E335" s="3"/>
      <c r="F335" s="3"/>
      <c r="G335" s="3"/>
      <c r="H335" s="3"/>
      <c r="I335" s="3"/>
      <c r="J335" s="3"/>
      <c r="K335" s="3"/>
      <c r="L335" s="3"/>
    </row>
    <row x14ac:dyDescent="0.25" r="336" customHeight="1" ht="18.75">
      <c r="A336" s="17"/>
      <c r="B336" s="17"/>
      <c r="C336" s="3"/>
      <c r="D336" s="3"/>
      <c r="E336" s="3"/>
      <c r="F336" s="3"/>
      <c r="G336" s="3"/>
      <c r="H336" s="3"/>
      <c r="I336" s="3"/>
      <c r="J336" s="3"/>
      <c r="K336" s="3"/>
      <c r="L336" s="3"/>
    </row>
    <row x14ac:dyDescent="0.25" r="337" customHeight="1" ht="18.75">
      <c r="A337" s="17"/>
      <c r="B337" s="17"/>
      <c r="C337" s="3"/>
      <c r="D337" s="3"/>
      <c r="E337" s="3"/>
      <c r="F337" s="3"/>
      <c r="G337" s="3"/>
      <c r="H337" s="3"/>
      <c r="I337" s="3"/>
      <c r="J337" s="3"/>
      <c r="K337" s="3"/>
      <c r="L337" s="3"/>
    </row>
    <row x14ac:dyDescent="0.25" r="338" customHeight="1" ht="18.75">
      <c r="A338" s="17"/>
      <c r="B338" s="17"/>
      <c r="C338" s="3"/>
      <c r="D338" s="3"/>
      <c r="E338" s="3"/>
      <c r="F338" s="3"/>
      <c r="G338" s="3"/>
      <c r="H338" s="3"/>
      <c r="I338" s="3"/>
      <c r="J338" s="3"/>
      <c r="K338" s="3"/>
      <c r="L338" s="3"/>
    </row>
    <row x14ac:dyDescent="0.25" r="339" customHeight="1" ht="18.75">
      <c r="A339" s="17"/>
      <c r="B339" s="17"/>
      <c r="C339" s="3"/>
      <c r="D339" s="3"/>
      <c r="E339" s="3"/>
      <c r="F339" s="3"/>
      <c r="G339" s="3"/>
      <c r="H339" s="3"/>
      <c r="I339" s="3"/>
      <c r="J339" s="3"/>
      <c r="K339" s="3"/>
      <c r="L339" s="3"/>
    </row>
    <row x14ac:dyDescent="0.25" r="340" customHeight="1" ht="18.75">
      <c r="A340" s="17"/>
      <c r="B340" s="17"/>
      <c r="C340" s="3"/>
      <c r="D340" s="3"/>
      <c r="E340" s="3"/>
      <c r="F340" s="3"/>
      <c r="G340" s="3"/>
      <c r="H340" s="3"/>
      <c r="I340" s="3"/>
      <c r="J340" s="3"/>
      <c r="K340" s="3"/>
      <c r="L340" s="3"/>
    </row>
    <row x14ac:dyDescent="0.25" r="341" customHeight="1" ht="18.75">
      <c r="A341" s="17"/>
      <c r="B341" s="17"/>
      <c r="C341" s="3"/>
      <c r="D341" s="3"/>
      <c r="E341" s="3"/>
      <c r="F341" s="3"/>
      <c r="G341" s="3"/>
      <c r="H341" s="3"/>
      <c r="I341" s="3"/>
      <c r="J341" s="3"/>
      <c r="K341" s="3"/>
      <c r="L341" s="3"/>
    </row>
    <row x14ac:dyDescent="0.25" r="342" customHeight="1" ht="18.75">
      <c r="A342" s="17"/>
      <c r="B342" s="17"/>
      <c r="C342" s="3"/>
      <c r="D342" s="3"/>
      <c r="E342" s="3"/>
      <c r="F342" s="3"/>
      <c r="G342" s="3"/>
      <c r="H342" s="3"/>
      <c r="I342" s="3"/>
      <c r="J342" s="3"/>
      <c r="K342" s="3"/>
      <c r="L342" s="3"/>
    </row>
    <row x14ac:dyDescent="0.25" r="343" customHeight="1" ht="18.75">
      <c r="A343" s="17"/>
      <c r="B343" s="17"/>
      <c r="C343" s="3"/>
      <c r="D343" s="3"/>
      <c r="E343" s="3"/>
      <c r="F343" s="3"/>
      <c r="G343" s="3"/>
      <c r="H343" s="3"/>
      <c r="I343" s="3"/>
      <c r="J343" s="3"/>
      <c r="K343" s="3"/>
      <c r="L343" s="3"/>
    </row>
    <row x14ac:dyDescent="0.25" r="344" customHeight="1" ht="18.75">
      <c r="A344" s="17"/>
      <c r="B344" s="17"/>
      <c r="C344" s="3"/>
      <c r="D344" s="3"/>
      <c r="E344" s="3"/>
      <c r="F344" s="3"/>
      <c r="G344" s="3"/>
      <c r="H344" s="3"/>
      <c r="I344" s="3"/>
      <c r="J344" s="3"/>
      <c r="K344" s="3"/>
      <c r="L344" s="3"/>
    </row>
    <row x14ac:dyDescent="0.25" r="345" customHeight="1" ht="18.75">
      <c r="A345" s="17"/>
      <c r="B345" s="17"/>
      <c r="C345" s="3"/>
      <c r="D345" s="3"/>
      <c r="E345" s="3"/>
      <c r="F345" s="3"/>
      <c r="G345" s="3"/>
      <c r="H345" s="3"/>
      <c r="I345" s="3"/>
      <c r="J345" s="3"/>
      <c r="K345" s="3"/>
      <c r="L345" s="3"/>
    </row>
    <row x14ac:dyDescent="0.25" r="346" customHeight="1" ht="18.75">
      <c r="A346" s="17"/>
      <c r="B346" s="17"/>
      <c r="C346" s="3"/>
      <c r="D346" s="3"/>
      <c r="E346" s="3"/>
      <c r="F346" s="3"/>
      <c r="G346" s="3"/>
      <c r="H346" s="3"/>
      <c r="I346" s="3"/>
      <c r="J346" s="3"/>
      <c r="K346" s="3"/>
      <c r="L346" s="3"/>
    </row>
    <row x14ac:dyDescent="0.25" r="347" customHeight="1" ht="18.75">
      <c r="A347" s="17"/>
      <c r="B347" s="17"/>
      <c r="C347" s="3"/>
      <c r="D347" s="3"/>
      <c r="E347" s="3"/>
      <c r="F347" s="3"/>
      <c r="G347" s="3"/>
      <c r="H347" s="3"/>
      <c r="I347" s="3"/>
      <c r="J347" s="3"/>
      <c r="K347" s="3"/>
      <c r="L347" s="3"/>
    </row>
    <row x14ac:dyDescent="0.25" r="348" customHeight="1" ht="18.75">
      <c r="A348" s="17"/>
      <c r="B348" s="17"/>
      <c r="C348" s="3"/>
      <c r="D348" s="3"/>
      <c r="E348" s="3"/>
      <c r="F348" s="3"/>
      <c r="G348" s="3"/>
      <c r="H348" s="3"/>
      <c r="I348" s="3"/>
      <c r="J348" s="3"/>
      <c r="K348" s="3"/>
      <c r="L348" s="3"/>
    </row>
    <row x14ac:dyDescent="0.25" r="349" customHeight="1" ht="18.75">
      <c r="A349" s="17"/>
      <c r="B349" s="17"/>
      <c r="C349" s="3"/>
      <c r="D349" s="3"/>
      <c r="E349" s="3"/>
      <c r="F349" s="3"/>
      <c r="G349" s="3"/>
      <c r="H349" s="3"/>
      <c r="I349" s="3"/>
      <c r="J349" s="3"/>
      <c r="K349" s="3"/>
      <c r="L349" s="3"/>
    </row>
    <row x14ac:dyDescent="0.25" r="350" customHeight="1" ht="18.75">
      <c r="A350" s="17"/>
      <c r="B350" s="17"/>
      <c r="C350" s="3"/>
      <c r="D350" s="3"/>
      <c r="E350" s="3"/>
      <c r="F350" s="3"/>
      <c r="G350" s="3"/>
      <c r="H350" s="3"/>
      <c r="I350" s="3"/>
      <c r="J350" s="3"/>
      <c r="K350" s="3"/>
      <c r="L350" s="3"/>
    </row>
    <row x14ac:dyDescent="0.25" r="351" customHeight="1" ht="18.75">
      <c r="A351" s="17"/>
      <c r="B351" s="17"/>
      <c r="C351" s="3"/>
      <c r="D351" s="3"/>
      <c r="E351" s="3"/>
      <c r="F351" s="3"/>
      <c r="G351" s="3"/>
      <c r="H351" s="3"/>
      <c r="I351" s="3"/>
      <c r="J351" s="3"/>
      <c r="K351" s="3"/>
      <c r="L351" s="3"/>
    </row>
    <row x14ac:dyDescent="0.25" r="352" customHeight="1" ht="18.75">
      <c r="A352" s="17"/>
      <c r="B352" s="17"/>
      <c r="C352" s="3"/>
      <c r="D352" s="3"/>
      <c r="E352" s="3"/>
      <c r="F352" s="3"/>
      <c r="G352" s="3"/>
      <c r="H352" s="3"/>
      <c r="I352" s="3"/>
      <c r="J352" s="3"/>
      <c r="K352" s="3"/>
      <c r="L352" s="3"/>
    </row>
    <row x14ac:dyDescent="0.25" r="353" customHeight="1" ht="18.75">
      <c r="A353" s="17"/>
      <c r="B353" s="17"/>
      <c r="C353" s="3"/>
      <c r="D353" s="3"/>
      <c r="E353" s="3"/>
      <c r="F353" s="3"/>
      <c r="G353" s="3"/>
      <c r="H353" s="3"/>
      <c r="I353" s="3"/>
      <c r="J353" s="3"/>
      <c r="K353" s="3"/>
      <c r="L353" s="3"/>
    </row>
    <row x14ac:dyDescent="0.25" r="354" customHeight="1" ht="18.75">
      <c r="A354" s="17"/>
      <c r="B354" s="17"/>
      <c r="C354" s="3"/>
      <c r="D354" s="3"/>
      <c r="E354" s="3"/>
      <c r="F354" s="3"/>
      <c r="G354" s="3"/>
      <c r="H354" s="3"/>
      <c r="I354" s="3"/>
      <c r="J354" s="3"/>
      <c r="K354" s="3"/>
      <c r="L354" s="3"/>
    </row>
    <row x14ac:dyDescent="0.25" r="355" customHeight="1" ht="18.75">
      <c r="A355" s="17"/>
      <c r="B355" s="17"/>
      <c r="C355" s="3"/>
      <c r="D355" s="3"/>
      <c r="E355" s="3"/>
      <c r="F355" s="3"/>
      <c r="G355" s="3"/>
      <c r="H355" s="3"/>
      <c r="I355" s="3"/>
      <c r="J355" s="3"/>
      <c r="K355" s="3"/>
      <c r="L355" s="3"/>
    </row>
    <row x14ac:dyDescent="0.25" r="356" customHeight="1" ht="18.75">
      <c r="A356" s="17"/>
      <c r="B356" s="17"/>
      <c r="C356" s="3"/>
      <c r="D356" s="3"/>
      <c r="E356" s="3"/>
      <c r="F356" s="3"/>
      <c r="G356" s="3"/>
      <c r="H356" s="3"/>
      <c r="I356" s="3"/>
      <c r="J356" s="3"/>
      <c r="K356" s="3"/>
      <c r="L356" s="3"/>
    </row>
    <row x14ac:dyDescent="0.25" r="357" customHeight="1" ht="18.75">
      <c r="A357" s="17"/>
      <c r="B357" s="17"/>
      <c r="C357" s="3"/>
      <c r="D357" s="3"/>
      <c r="E357" s="3"/>
      <c r="F357" s="3"/>
      <c r="G357" s="3"/>
      <c r="H357" s="3"/>
      <c r="I357" s="3"/>
      <c r="J357" s="3"/>
      <c r="K357" s="3"/>
      <c r="L357" s="3"/>
    </row>
    <row x14ac:dyDescent="0.25" r="358" customHeight="1" ht="18.75">
      <c r="A358" s="17"/>
      <c r="B358" s="17"/>
      <c r="C358" s="3"/>
      <c r="D358" s="3"/>
      <c r="E358" s="3"/>
      <c r="F358" s="3"/>
      <c r="G358" s="3"/>
      <c r="H358" s="3"/>
      <c r="I358" s="3"/>
      <c r="J358" s="3"/>
      <c r="K358" s="3"/>
      <c r="L358" s="3"/>
    </row>
    <row x14ac:dyDescent="0.25" r="359" customHeight="1" ht="18.75">
      <c r="A359" s="17"/>
      <c r="B359" s="17"/>
      <c r="C359" s="3"/>
      <c r="D359" s="3"/>
      <c r="E359" s="3"/>
      <c r="F359" s="3"/>
      <c r="G359" s="3"/>
      <c r="H359" s="3"/>
      <c r="I359" s="3"/>
      <c r="J359" s="3"/>
      <c r="K359" s="3"/>
      <c r="L359" s="3"/>
    </row>
    <row x14ac:dyDescent="0.25" r="360" customHeight="1" ht="18.75">
      <c r="A360" s="17"/>
      <c r="B360" s="17"/>
      <c r="C360" s="3"/>
      <c r="D360" s="3"/>
      <c r="E360" s="3"/>
      <c r="F360" s="3"/>
      <c r="G360" s="3"/>
      <c r="H360" s="3"/>
      <c r="I360" s="3"/>
      <c r="J360" s="3"/>
      <c r="K360" s="3"/>
      <c r="L360" s="3"/>
    </row>
    <row x14ac:dyDescent="0.25" r="361" customHeight="1" ht="18.75">
      <c r="A361" s="17"/>
      <c r="B361" s="17"/>
      <c r="C361" s="3"/>
      <c r="D361" s="3"/>
      <c r="E361" s="3"/>
      <c r="F361" s="3"/>
      <c r="G361" s="3"/>
      <c r="H361" s="3"/>
      <c r="I361" s="3"/>
      <c r="J361" s="3"/>
      <c r="K361" s="3"/>
      <c r="L361" s="3"/>
    </row>
    <row x14ac:dyDescent="0.25" r="362" customHeight="1" ht="18.75">
      <c r="A362" s="17"/>
      <c r="B362" s="17"/>
      <c r="C362" s="3"/>
      <c r="D362" s="3"/>
      <c r="E362" s="3"/>
      <c r="F362" s="3"/>
      <c r="G362" s="3"/>
      <c r="H362" s="3"/>
      <c r="I362" s="3"/>
      <c r="J362" s="3"/>
      <c r="K362" s="3"/>
      <c r="L362" s="3"/>
    </row>
    <row x14ac:dyDescent="0.25" r="363" customHeight="1" ht="18.75">
      <c r="A363" s="17"/>
      <c r="B363" s="17"/>
      <c r="C363" s="3"/>
      <c r="D363" s="3"/>
      <c r="E363" s="3"/>
      <c r="F363" s="3"/>
      <c r="G363" s="3"/>
      <c r="H363" s="3"/>
      <c r="I363" s="3"/>
      <c r="J363" s="3"/>
      <c r="K363" s="3"/>
      <c r="L363" s="3"/>
    </row>
    <row x14ac:dyDescent="0.25" r="364" customHeight="1" ht="18.75">
      <c r="A364" s="17"/>
      <c r="B364" s="17"/>
      <c r="C364" s="3"/>
      <c r="D364" s="3"/>
      <c r="E364" s="3"/>
      <c r="F364" s="3"/>
      <c r="G364" s="3"/>
      <c r="H364" s="3"/>
      <c r="I364" s="3"/>
      <c r="J364" s="3"/>
      <c r="K364" s="3"/>
      <c r="L364" s="3"/>
    </row>
    <row x14ac:dyDescent="0.25" r="365" customHeight="1" ht="18.75">
      <c r="A365" s="17"/>
      <c r="B365" s="17"/>
      <c r="C365" s="3"/>
      <c r="D365" s="3"/>
      <c r="E365" s="3"/>
      <c r="F365" s="3"/>
      <c r="G365" s="3"/>
      <c r="H365" s="3"/>
      <c r="I365" s="3"/>
      <c r="J365" s="3"/>
      <c r="K365" s="3"/>
      <c r="L365" s="3"/>
    </row>
    <row x14ac:dyDescent="0.25" r="366" customHeight="1" ht="18.75">
      <c r="A366" s="17"/>
      <c r="B366" s="17"/>
      <c r="C366" s="3"/>
      <c r="D366" s="3"/>
      <c r="E366" s="3"/>
      <c r="F366" s="3"/>
      <c r="G366" s="3"/>
      <c r="H366" s="3"/>
      <c r="I366" s="3"/>
      <c r="J366" s="3"/>
      <c r="K366" s="3"/>
      <c r="L366" s="3"/>
    </row>
    <row x14ac:dyDescent="0.25" r="367" customHeight="1" ht="18.75">
      <c r="A367" s="17"/>
      <c r="B367" s="17"/>
      <c r="C367" s="3"/>
      <c r="D367" s="3"/>
      <c r="E367" s="3"/>
      <c r="F367" s="3"/>
      <c r="G367" s="3"/>
      <c r="H367" s="3"/>
      <c r="I367" s="3"/>
      <c r="J367" s="3"/>
      <c r="K367" s="3"/>
      <c r="L367" s="3"/>
    </row>
    <row x14ac:dyDescent="0.25" r="368" customHeight="1" ht="18.75">
      <c r="A368" s="17"/>
      <c r="B368" s="17"/>
      <c r="C368" s="3"/>
      <c r="D368" s="3"/>
      <c r="E368" s="3"/>
      <c r="F368" s="3"/>
      <c r="G368" s="3"/>
      <c r="H368" s="3"/>
      <c r="I368" s="3"/>
      <c r="J368" s="3"/>
      <c r="K368" s="3"/>
      <c r="L368" s="3"/>
    </row>
    <row x14ac:dyDescent="0.25" r="369" customHeight="1" ht="18.75">
      <c r="A369" s="17"/>
      <c r="B369" s="17"/>
      <c r="C369" s="3"/>
      <c r="D369" s="3"/>
      <c r="E369" s="3"/>
      <c r="F369" s="3"/>
      <c r="G369" s="3"/>
      <c r="H369" s="3"/>
      <c r="I369" s="3"/>
      <c r="J369" s="3"/>
      <c r="K369" s="3"/>
      <c r="L369" s="3"/>
    </row>
    <row x14ac:dyDescent="0.25" r="370" customHeight="1" ht="18.75">
      <c r="A370" s="17"/>
      <c r="B370" s="17"/>
      <c r="C370" s="3"/>
      <c r="D370" s="3"/>
      <c r="E370" s="3"/>
      <c r="F370" s="3"/>
      <c r="G370" s="3"/>
      <c r="H370" s="3"/>
      <c r="I370" s="3"/>
      <c r="J370" s="3"/>
      <c r="K370" s="3"/>
      <c r="L370" s="3"/>
    </row>
    <row x14ac:dyDescent="0.25" r="371" customHeight="1" ht="18.75">
      <c r="A371" s="17"/>
      <c r="B371" s="17"/>
      <c r="C371" s="3"/>
      <c r="D371" s="3"/>
      <c r="E371" s="3"/>
      <c r="F371" s="3"/>
      <c r="G371" s="3"/>
      <c r="H371" s="3"/>
      <c r="I371" s="3"/>
      <c r="J371" s="3"/>
      <c r="K371" s="3"/>
      <c r="L371" s="3"/>
    </row>
    <row x14ac:dyDescent="0.25" r="372" customHeight="1" ht="18.75">
      <c r="A372" s="17"/>
      <c r="B372" s="17"/>
      <c r="C372" s="3"/>
      <c r="D372" s="3"/>
      <c r="E372" s="3"/>
      <c r="F372" s="3"/>
      <c r="G372" s="3"/>
      <c r="H372" s="3"/>
      <c r="I372" s="3"/>
      <c r="J372" s="3"/>
      <c r="K372" s="3"/>
      <c r="L372" s="3"/>
    </row>
    <row x14ac:dyDescent="0.25" r="373" customHeight="1" ht="18.75">
      <c r="A373" s="17"/>
      <c r="B373" s="17"/>
      <c r="C373" s="3"/>
      <c r="D373" s="3"/>
      <c r="E373" s="3"/>
      <c r="F373" s="3"/>
      <c r="G373" s="3"/>
      <c r="H373" s="3"/>
      <c r="I373" s="3"/>
      <c r="J373" s="3"/>
      <c r="K373" s="3"/>
      <c r="L373" s="3"/>
    </row>
    <row x14ac:dyDescent="0.25" r="374" customHeight="1" ht="18.75">
      <c r="A374" s="17"/>
      <c r="B374" s="17"/>
      <c r="C374" s="3"/>
      <c r="D374" s="3"/>
      <c r="E374" s="3"/>
      <c r="F374" s="3"/>
      <c r="G374" s="3"/>
      <c r="H374" s="3"/>
      <c r="I374" s="3"/>
      <c r="J374" s="3"/>
      <c r="K374" s="3"/>
      <c r="L374" s="3"/>
    </row>
    <row x14ac:dyDescent="0.25" r="375" customHeight="1" ht="18.75">
      <c r="A375" s="17"/>
      <c r="B375" s="17"/>
      <c r="C375" s="3"/>
      <c r="D375" s="3"/>
      <c r="E375" s="3"/>
      <c r="F375" s="3"/>
      <c r="G375" s="3"/>
      <c r="H375" s="3"/>
      <c r="I375" s="3"/>
      <c r="J375" s="3"/>
      <c r="K375" s="3"/>
      <c r="L375" s="3"/>
    </row>
    <row x14ac:dyDescent="0.25" r="376" customHeight="1" ht="18.75">
      <c r="A376" s="17"/>
      <c r="B376" s="17"/>
      <c r="C376" s="3"/>
      <c r="D376" s="3"/>
      <c r="E376" s="3"/>
      <c r="F376" s="3"/>
      <c r="G376" s="3"/>
      <c r="H376" s="3"/>
      <c r="I376" s="3"/>
      <c r="J376" s="3"/>
      <c r="K376" s="3"/>
      <c r="L376" s="3"/>
    </row>
    <row x14ac:dyDescent="0.25" r="377" customHeight="1" ht="18.75">
      <c r="A377" s="17"/>
      <c r="B377" s="17"/>
      <c r="C377" s="3"/>
      <c r="D377" s="3"/>
      <c r="E377" s="3"/>
      <c r="F377" s="3"/>
      <c r="G377" s="3"/>
      <c r="H377" s="3"/>
      <c r="I377" s="3"/>
      <c r="J377" s="3"/>
      <c r="K377" s="3"/>
      <c r="L377" s="3"/>
    </row>
    <row x14ac:dyDescent="0.25" r="378" customHeight="1" ht="18.75">
      <c r="A378" s="17"/>
      <c r="B378" s="17"/>
      <c r="C378" s="3"/>
      <c r="D378" s="3"/>
      <c r="E378" s="3"/>
      <c r="F378" s="3"/>
      <c r="G378" s="3"/>
      <c r="H378" s="3"/>
      <c r="I378" s="3"/>
      <c r="J378" s="3"/>
      <c r="K378" s="3"/>
      <c r="L378" s="3"/>
    </row>
    <row x14ac:dyDescent="0.25" r="379" customHeight="1" ht="18.75">
      <c r="A379" s="17"/>
      <c r="B379" s="17"/>
      <c r="C379" s="3"/>
      <c r="D379" s="3"/>
      <c r="E379" s="3"/>
      <c r="F379" s="3"/>
      <c r="G379" s="3"/>
      <c r="H379" s="3"/>
      <c r="I379" s="3"/>
      <c r="J379" s="3"/>
      <c r="K379" s="3"/>
      <c r="L379" s="3"/>
    </row>
    <row x14ac:dyDescent="0.25" r="380" customHeight="1" ht="18.75">
      <c r="A380" s="17"/>
      <c r="B380" s="17"/>
      <c r="C380" s="3"/>
      <c r="D380" s="3"/>
      <c r="E380" s="3"/>
      <c r="F380" s="3"/>
      <c r="G380" s="3"/>
      <c r="H380" s="3"/>
      <c r="I380" s="3"/>
      <c r="J380" s="3"/>
      <c r="K380" s="3"/>
      <c r="L380" s="3"/>
    </row>
    <row x14ac:dyDescent="0.25" r="381" customHeight="1" ht="18.75">
      <c r="A381" s="17"/>
      <c r="B381" s="17"/>
      <c r="C381" s="3"/>
      <c r="D381" s="3"/>
      <c r="E381" s="3"/>
      <c r="F381" s="3"/>
      <c r="G381" s="3"/>
      <c r="H381" s="3"/>
      <c r="I381" s="3"/>
      <c r="J381" s="3"/>
      <c r="K381" s="3"/>
      <c r="L381" s="3"/>
    </row>
    <row x14ac:dyDescent="0.25" r="382" customHeight="1" ht="18.75">
      <c r="A382" s="17"/>
      <c r="B382" s="17"/>
      <c r="C382" s="3"/>
      <c r="D382" s="3"/>
      <c r="E382" s="3"/>
      <c r="F382" s="3"/>
      <c r="G382" s="3"/>
      <c r="H382" s="3"/>
      <c r="I382" s="3"/>
      <c r="J382" s="3"/>
      <c r="K382" s="3"/>
      <c r="L382" s="3"/>
    </row>
    <row x14ac:dyDescent="0.25" r="383" customHeight="1" ht="18.75">
      <c r="A383" s="17"/>
      <c r="B383" s="17"/>
      <c r="C383" s="3"/>
      <c r="D383" s="3"/>
      <c r="E383" s="3"/>
      <c r="F383" s="3"/>
      <c r="G383" s="3"/>
      <c r="H383" s="3"/>
      <c r="I383" s="3"/>
      <c r="J383" s="3"/>
      <c r="K383" s="3"/>
      <c r="L383" s="3"/>
    </row>
    <row x14ac:dyDescent="0.25" r="384" customHeight="1" ht="18.75">
      <c r="A384" s="17"/>
      <c r="B384" s="17"/>
      <c r="C384" s="3"/>
      <c r="D384" s="3"/>
      <c r="E384" s="3"/>
      <c r="F384" s="3"/>
      <c r="G384" s="3"/>
      <c r="H384" s="3"/>
      <c r="I384" s="3"/>
      <c r="J384" s="3"/>
      <c r="K384" s="3"/>
      <c r="L384" s="3"/>
    </row>
    <row x14ac:dyDescent="0.25" r="385" customHeight="1" ht="18.75">
      <c r="A385" s="17"/>
      <c r="B385" s="17"/>
      <c r="C385" s="3"/>
      <c r="D385" s="3"/>
      <c r="E385" s="3"/>
      <c r="F385" s="3"/>
      <c r="G385" s="3"/>
      <c r="H385" s="3"/>
      <c r="I385" s="3"/>
      <c r="J385" s="3"/>
      <c r="K385" s="3"/>
      <c r="L385" s="3"/>
    </row>
    <row x14ac:dyDescent="0.25" r="386" customHeight="1" ht="18.75">
      <c r="A386" s="17"/>
      <c r="B386" s="17"/>
      <c r="C386" s="3"/>
      <c r="D386" s="3"/>
      <c r="E386" s="3"/>
      <c r="F386" s="3"/>
      <c r="G386" s="3"/>
      <c r="H386" s="3"/>
      <c r="I386" s="3"/>
      <c r="J386" s="3"/>
      <c r="K386" s="3"/>
      <c r="L386" s="3"/>
    </row>
    <row x14ac:dyDescent="0.25" r="387" customHeight="1" ht="18.75">
      <c r="A387" s="17"/>
      <c r="B387" s="17"/>
      <c r="C387" s="3"/>
      <c r="D387" s="3"/>
      <c r="E387" s="3"/>
      <c r="F387" s="3"/>
      <c r="G387" s="3"/>
      <c r="H387" s="3"/>
      <c r="I387" s="3"/>
      <c r="J387" s="3"/>
      <c r="K387" s="3"/>
      <c r="L387" s="3"/>
    </row>
    <row x14ac:dyDescent="0.25" r="388" customHeight="1" ht="18.75">
      <c r="A388" s="17"/>
      <c r="B388" s="17"/>
      <c r="C388" s="3"/>
      <c r="D388" s="3"/>
      <c r="E388" s="3"/>
      <c r="F388" s="3"/>
      <c r="G388" s="3"/>
      <c r="H388" s="3"/>
      <c r="I388" s="3"/>
      <c r="J388" s="3"/>
      <c r="K388" s="3"/>
      <c r="L388" s="3"/>
    </row>
    <row x14ac:dyDescent="0.25" r="389" customHeight="1" ht="18.75">
      <c r="A389" s="17"/>
      <c r="B389" s="17"/>
      <c r="C389" s="3"/>
      <c r="D389" s="3"/>
      <c r="E389" s="3"/>
      <c r="F389" s="3"/>
      <c r="G389" s="3"/>
      <c r="H389" s="3"/>
      <c r="I389" s="3"/>
      <c r="J389" s="3"/>
      <c r="K389" s="3"/>
      <c r="L389" s="3"/>
    </row>
    <row x14ac:dyDescent="0.25" r="390" customHeight="1" ht="18.75">
      <c r="A390" s="17"/>
      <c r="B390" s="17"/>
      <c r="C390" s="3"/>
      <c r="D390" s="3"/>
      <c r="E390" s="3"/>
      <c r="F390" s="3"/>
      <c r="G390" s="3"/>
      <c r="H390" s="3"/>
      <c r="I390" s="3"/>
      <c r="J390" s="3"/>
      <c r="K390" s="3"/>
      <c r="L390" s="3"/>
    </row>
    <row x14ac:dyDescent="0.25" r="391" customHeight="1" ht="18.75">
      <c r="A391" s="17"/>
      <c r="B391" s="17"/>
      <c r="C391" s="3"/>
      <c r="D391" s="3"/>
      <c r="E391" s="3"/>
      <c r="F391" s="3"/>
      <c r="G391" s="3"/>
      <c r="H391" s="3"/>
      <c r="I391" s="3"/>
      <c r="J391" s="3"/>
      <c r="K391" s="3"/>
      <c r="L391" s="3"/>
    </row>
    <row x14ac:dyDescent="0.25" r="392" customHeight="1" ht="18.75">
      <c r="A392" s="17"/>
      <c r="B392" s="17"/>
      <c r="C392" s="3"/>
      <c r="D392" s="3"/>
      <c r="E392" s="3"/>
      <c r="F392" s="3"/>
      <c r="G392" s="3"/>
      <c r="H392" s="3"/>
      <c r="I392" s="3"/>
      <c r="J392" s="3"/>
      <c r="K392" s="3"/>
      <c r="L392" s="3"/>
    </row>
    <row x14ac:dyDescent="0.25" r="393" customHeight="1" ht="18.75">
      <c r="A393" s="17"/>
      <c r="B393" s="17"/>
      <c r="C393" s="3"/>
      <c r="D393" s="3"/>
      <c r="E393" s="3"/>
      <c r="F393" s="3"/>
      <c r="G393" s="3"/>
      <c r="H393" s="3"/>
      <c r="I393" s="3"/>
      <c r="J393" s="3"/>
      <c r="K393" s="3"/>
      <c r="L393" s="3"/>
    </row>
    <row x14ac:dyDescent="0.25" r="394" customHeight="1" ht="18.75">
      <c r="A394" s="17"/>
      <c r="B394" s="17"/>
      <c r="C394" s="3"/>
      <c r="D394" s="3"/>
      <c r="E394" s="3"/>
      <c r="F394" s="3"/>
      <c r="G394" s="3"/>
      <c r="H394" s="3"/>
      <c r="I394" s="3"/>
      <c r="J394" s="3"/>
      <c r="K394" s="3"/>
      <c r="L394" s="3"/>
    </row>
    <row x14ac:dyDescent="0.25" r="395" customHeight="1" ht="18.75">
      <c r="A395" s="17"/>
      <c r="B395" s="17"/>
      <c r="C395" s="3"/>
      <c r="D395" s="3"/>
      <c r="E395" s="3"/>
      <c r="F395" s="3"/>
      <c r="G395" s="3"/>
      <c r="H395" s="3"/>
      <c r="I395" s="3"/>
      <c r="J395" s="3"/>
      <c r="K395" s="3"/>
      <c r="L395" s="3"/>
    </row>
    <row x14ac:dyDescent="0.25" r="396" customHeight="1" ht="18.75">
      <c r="A396" s="17"/>
      <c r="B396" s="17"/>
      <c r="C396" s="3"/>
      <c r="D396" s="3"/>
      <c r="E396" s="3"/>
      <c r="F396" s="3"/>
      <c r="G396" s="3"/>
      <c r="H396" s="3"/>
      <c r="I396" s="3"/>
      <c r="J396" s="3"/>
      <c r="K396" s="3"/>
      <c r="L396" s="3"/>
    </row>
    <row x14ac:dyDescent="0.25" r="397" customHeight="1" ht="18.75">
      <c r="A397" s="17"/>
      <c r="B397" s="17"/>
      <c r="C397" s="3"/>
      <c r="D397" s="3"/>
      <c r="E397" s="3"/>
      <c r="F397" s="3"/>
      <c r="G397" s="3"/>
      <c r="H397" s="3"/>
      <c r="I397" s="3"/>
      <c r="J397" s="3"/>
      <c r="K397" s="3"/>
      <c r="L397" s="3"/>
    </row>
    <row x14ac:dyDescent="0.25" r="398" customHeight="1" ht="18.75">
      <c r="A398" s="17"/>
      <c r="B398" s="17"/>
      <c r="C398" s="3"/>
      <c r="D398" s="3"/>
      <c r="E398" s="3"/>
      <c r="F398" s="3"/>
      <c r="G398" s="3"/>
      <c r="H398" s="3"/>
      <c r="I398" s="3"/>
      <c r="J398" s="3"/>
      <c r="K398" s="3"/>
      <c r="L398" s="3"/>
    </row>
    <row x14ac:dyDescent="0.25" r="399" customHeight="1" ht="18.75">
      <c r="A399" s="17"/>
      <c r="B399" s="17"/>
      <c r="C399" s="3"/>
      <c r="D399" s="3"/>
      <c r="E399" s="3"/>
      <c r="F399" s="3"/>
      <c r="G399" s="3"/>
      <c r="H399" s="3"/>
      <c r="I399" s="3"/>
      <c r="J399" s="3"/>
      <c r="K399" s="3"/>
      <c r="L399" s="3"/>
    </row>
    <row x14ac:dyDescent="0.25" r="400" customHeight="1" ht="18.75">
      <c r="A400" s="17"/>
      <c r="B400" s="17"/>
      <c r="C400" s="3"/>
      <c r="D400" s="3"/>
      <c r="E400" s="3"/>
      <c r="F400" s="3"/>
      <c r="G400" s="3"/>
      <c r="H400" s="3"/>
      <c r="I400" s="3"/>
      <c r="J400" s="3"/>
      <c r="K400" s="3"/>
      <c r="L400" s="3"/>
    </row>
    <row x14ac:dyDescent="0.25" r="401" customHeight="1" ht="18.75">
      <c r="A401" s="17"/>
      <c r="B401" s="17"/>
      <c r="C401" s="3"/>
      <c r="D401" s="3"/>
      <c r="E401" s="3"/>
      <c r="F401" s="3"/>
      <c r="G401" s="3"/>
      <c r="H401" s="3"/>
      <c r="I401" s="3"/>
      <c r="J401" s="3"/>
      <c r="K401" s="3"/>
      <c r="L401" s="3"/>
    </row>
    <row x14ac:dyDescent="0.25" r="402" customHeight="1" ht="18.75">
      <c r="A402" s="17"/>
      <c r="B402" s="17"/>
      <c r="C402" s="3"/>
      <c r="D402" s="3"/>
      <c r="E402" s="3"/>
      <c r="F402" s="3"/>
      <c r="G402" s="3"/>
      <c r="H402" s="3"/>
      <c r="I402" s="3"/>
      <c r="J402" s="3"/>
      <c r="K402" s="3"/>
      <c r="L402" s="3"/>
    </row>
    <row x14ac:dyDescent="0.25" r="403" customHeight="1" ht="18.75">
      <c r="A403" s="17"/>
      <c r="B403" s="17"/>
      <c r="C403" s="3"/>
      <c r="D403" s="3"/>
      <c r="E403" s="3"/>
      <c r="F403" s="3"/>
      <c r="G403" s="3"/>
      <c r="H403" s="3"/>
      <c r="I403" s="3"/>
      <c r="J403" s="3"/>
      <c r="K403" s="3"/>
      <c r="L403" s="3"/>
    </row>
    <row x14ac:dyDescent="0.25" r="404" customHeight="1" ht="18.75">
      <c r="A404" s="17"/>
      <c r="B404" s="17"/>
      <c r="C404" s="3"/>
      <c r="D404" s="3"/>
      <c r="E404" s="3"/>
      <c r="F404" s="3"/>
      <c r="G404" s="3"/>
      <c r="H404" s="3"/>
      <c r="I404" s="3"/>
      <c r="J404" s="3"/>
      <c r="K404" s="3"/>
      <c r="L404" s="3"/>
    </row>
    <row x14ac:dyDescent="0.25" r="405" customHeight="1" ht="18.75">
      <c r="A405" s="17"/>
      <c r="B405" s="17"/>
      <c r="C405" s="3"/>
      <c r="D405" s="3"/>
      <c r="E405" s="3"/>
      <c r="F405" s="3"/>
      <c r="G405" s="3"/>
      <c r="H405" s="3"/>
      <c r="I405" s="3"/>
      <c r="J405" s="3"/>
      <c r="K405" s="3"/>
      <c r="L405" s="3"/>
    </row>
    <row x14ac:dyDescent="0.25" r="406" customHeight="1" ht="18.75">
      <c r="A406" s="17"/>
      <c r="B406" s="17"/>
      <c r="C406" s="3"/>
      <c r="D406" s="3"/>
      <c r="E406" s="3"/>
      <c r="F406" s="3"/>
      <c r="G406" s="3"/>
      <c r="H406" s="3"/>
      <c r="I406" s="3"/>
      <c r="J406" s="3"/>
      <c r="K406" s="3"/>
      <c r="L406" s="3"/>
    </row>
    <row x14ac:dyDescent="0.25" r="407" customHeight="1" ht="18.75">
      <c r="A407" s="17"/>
      <c r="B407" s="17"/>
      <c r="C407" s="3"/>
      <c r="D407" s="3"/>
      <c r="E407" s="3"/>
      <c r="F407" s="3"/>
      <c r="G407" s="3"/>
      <c r="H407" s="3"/>
      <c r="I407" s="3"/>
      <c r="J407" s="3"/>
      <c r="K407" s="3"/>
      <c r="L407" s="3"/>
    </row>
    <row x14ac:dyDescent="0.25" r="408" customHeight="1" ht="18.75">
      <c r="A408" s="17"/>
      <c r="B408" s="17"/>
      <c r="C408" s="3"/>
      <c r="D408" s="3"/>
      <c r="E408" s="3"/>
      <c r="F408" s="3"/>
      <c r="G408" s="3"/>
      <c r="H408" s="3"/>
      <c r="I408" s="3"/>
      <c r="J408" s="3"/>
      <c r="K408" s="3"/>
      <c r="L408" s="3"/>
    </row>
    <row x14ac:dyDescent="0.25" r="409" customHeight="1" ht="18.75">
      <c r="A409" s="17"/>
      <c r="B409" s="17"/>
      <c r="C409" s="3"/>
      <c r="D409" s="3"/>
      <c r="E409" s="3"/>
      <c r="F409" s="3"/>
      <c r="G409" s="3"/>
      <c r="H409" s="3"/>
      <c r="I409" s="3"/>
      <c r="J409" s="3"/>
      <c r="K409" s="3"/>
      <c r="L409" s="3"/>
    </row>
    <row x14ac:dyDescent="0.25" r="410" customHeight="1" ht="18.75">
      <c r="A410" s="17"/>
      <c r="B410" s="17"/>
      <c r="C410" s="3"/>
      <c r="D410" s="3"/>
      <c r="E410" s="3"/>
      <c r="F410" s="3"/>
      <c r="G410" s="3"/>
      <c r="H410" s="3"/>
      <c r="I410" s="3"/>
      <c r="J410" s="3"/>
      <c r="K410" s="3"/>
      <c r="L410" s="3"/>
    </row>
    <row x14ac:dyDescent="0.25" r="411" customHeight="1" ht="18.75">
      <c r="A411" s="17"/>
      <c r="B411" s="17"/>
      <c r="C411" s="3"/>
      <c r="D411" s="3"/>
      <c r="E411" s="3"/>
      <c r="F411" s="3"/>
      <c r="G411" s="3"/>
      <c r="H411" s="3"/>
      <c r="I411" s="3"/>
      <c r="J411" s="3"/>
      <c r="K411" s="3"/>
      <c r="L411" s="3"/>
    </row>
    <row x14ac:dyDescent="0.25" r="412" customHeight="1" ht="18.75">
      <c r="A412" s="17"/>
      <c r="B412" s="17"/>
      <c r="C412" s="3"/>
      <c r="D412" s="3"/>
      <c r="E412" s="3"/>
      <c r="F412" s="3"/>
      <c r="G412" s="3"/>
      <c r="H412" s="3"/>
      <c r="I412" s="3"/>
      <c r="J412" s="3"/>
      <c r="K412" s="3"/>
      <c r="L412" s="3"/>
    </row>
    <row x14ac:dyDescent="0.25" r="413" customHeight="1" ht="18.75">
      <c r="A413" s="17"/>
      <c r="B413" s="17"/>
      <c r="C413" s="3"/>
      <c r="D413" s="3"/>
      <c r="E413" s="3"/>
      <c r="F413" s="3"/>
      <c r="G413" s="3"/>
      <c r="H413" s="3"/>
      <c r="I413" s="3"/>
      <c r="J413" s="3"/>
      <c r="K413" s="3"/>
      <c r="L413" s="3"/>
    </row>
    <row x14ac:dyDescent="0.25" r="414" customHeight="1" ht="18.75">
      <c r="A414" s="17"/>
      <c r="B414" s="17"/>
      <c r="C414" s="3"/>
      <c r="D414" s="3"/>
      <c r="E414" s="3"/>
      <c r="F414" s="3"/>
      <c r="G414" s="3"/>
      <c r="H414" s="3"/>
      <c r="I414" s="3"/>
      <c r="J414" s="3"/>
      <c r="K414" s="3"/>
      <c r="L414" s="3"/>
    </row>
    <row x14ac:dyDescent="0.25" r="415" customHeight="1" ht="18.75">
      <c r="A415" s="17"/>
      <c r="B415" s="17"/>
      <c r="C415" s="3"/>
      <c r="D415" s="3"/>
      <c r="E415" s="3"/>
      <c r="F415" s="3"/>
      <c r="G415" s="3"/>
      <c r="H415" s="3"/>
      <c r="I415" s="3"/>
      <c r="J415" s="3"/>
      <c r="K415" s="3"/>
      <c r="L415" s="3"/>
    </row>
    <row x14ac:dyDescent="0.25" r="416" customHeight="1" ht="18.75">
      <c r="A416" s="17"/>
      <c r="B416" s="17"/>
      <c r="C416" s="3"/>
      <c r="D416" s="3"/>
      <c r="E416" s="3"/>
      <c r="F416" s="3"/>
      <c r="G416" s="3"/>
      <c r="H416" s="3"/>
      <c r="I416" s="3"/>
      <c r="J416" s="3"/>
      <c r="K416" s="3"/>
      <c r="L416" s="3"/>
    </row>
    <row x14ac:dyDescent="0.25" r="417" customHeight="1" ht="18.75">
      <c r="A417" s="17"/>
      <c r="B417" s="17"/>
      <c r="C417" s="3"/>
      <c r="D417" s="3"/>
      <c r="E417" s="3"/>
      <c r="F417" s="3"/>
      <c r="G417" s="3"/>
      <c r="H417" s="3"/>
      <c r="I417" s="3"/>
      <c r="J417" s="3"/>
      <c r="K417" s="3"/>
      <c r="L417" s="3"/>
    </row>
    <row x14ac:dyDescent="0.25" r="418" customHeight="1" ht="18.75">
      <c r="A418" s="17"/>
      <c r="B418" s="17"/>
      <c r="C418" s="3"/>
      <c r="D418" s="3"/>
      <c r="E418" s="3"/>
      <c r="F418" s="3"/>
      <c r="G418" s="3"/>
      <c r="H418" s="3"/>
      <c r="I418" s="3"/>
      <c r="J418" s="3"/>
      <c r="K418" s="3"/>
      <c r="L418" s="3"/>
    </row>
    <row x14ac:dyDescent="0.25" r="419" customHeight="1" ht="18.75">
      <c r="A419" s="17"/>
      <c r="B419" s="17"/>
      <c r="C419" s="3"/>
      <c r="D419" s="3"/>
      <c r="E419" s="3"/>
      <c r="F419" s="3"/>
      <c r="G419" s="3"/>
      <c r="H419" s="3"/>
      <c r="I419" s="3"/>
      <c r="J419" s="3"/>
      <c r="K419" s="3"/>
      <c r="L419" s="3"/>
    </row>
    <row x14ac:dyDescent="0.25" r="420" customHeight="1" ht="18.75">
      <c r="A420" s="17"/>
      <c r="B420" s="17"/>
      <c r="C420" s="3"/>
      <c r="D420" s="3"/>
      <c r="E420" s="3"/>
      <c r="F420" s="3"/>
      <c r="G420" s="3"/>
      <c r="H420" s="3"/>
      <c r="I420" s="3"/>
      <c r="J420" s="3"/>
      <c r="K420" s="3"/>
      <c r="L420" s="3"/>
    </row>
    <row x14ac:dyDescent="0.25" r="421" customHeight="1" ht="18.75">
      <c r="A421" s="17"/>
      <c r="B421" s="17"/>
      <c r="C421" s="3"/>
      <c r="D421" s="3"/>
      <c r="E421" s="3"/>
      <c r="F421" s="3"/>
      <c r="G421" s="3"/>
      <c r="H421" s="3"/>
      <c r="I421" s="3"/>
      <c r="J421" s="3"/>
      <c r="K421" s="3"/>
      <c r="L421" s="3"/>
    </row>
    <row x14ac:dyDescent="0.25" r="422" customHeight="1" ht="18.75">
      <c r="A422" s="17"/>
      <c r="B422" s="17"/>
      <c r="C422" s="3"/>
      <c r="D422" s="3"/>
      <c r="E422" s="3"/>
      <c r="F422" s="3"/>
      <c r="G422" s="3"/>
      <c r="H422" s="3"/>
      <c r="I422" s="3"/>
      <c r="J422" s="3"/>
      <c r="K422" s="3"/>
      <c r="L422" s="3"/>
    </row>
    <row x14ac:dyDescent="0.25" r="423" customHeight="1" ht="18.75">
      <c r="A423" s="17"/>
      <c r="B423" s="17"/>
      <c r="C423" s="3"/>
      <c r="D423" s="3"/>
      <c r="E423" s="3"/>
      <c r="F423" s="3"/>
      <c r="G423" s="3"/>
      <c r="H423" s="3"/>
      <c r="I423" s="3"/>
      <c r="J423" s="3"/>
      <c r="K423" s="3"/>
      <c r="L423" s="3"/>
    </row>
    <row x14ac:dyDescent="0.25" r="424" customHeight="1" ht="18.75">
      <c r="A424" s="17"/>
      <c r="B424" s="17"/>
      <c r="C424" s="3"/>
      <c r="D424" s="3"/>
      <c r="E424" s="3"/>
      <c r="F424" s="3"/>
      <c r="G424" s="3"/>
      <c r="H424" s="3"/>
      <c r="I424" s="3"/>
      <c r="J424" s="3"/>
      <c r="K424" s="3"/>
      <c r="L424" s="3"/>
    </row>
    <row x14ac:dyDescent="0.25" r="425" customHeight="1" ht="18.75">
      <c r="A425" s="17"/>
      <c r="B425" s="17"/>
      <c r="C425" s="3"/>
      <c r="D425" s="3"/>
      <c r="E425" s="3"/>
      <c r="F425" s="3"/>
      <c r="G425" s="3"/>
      <c r="H425" s="3"/>
      <c r="I425" s="3"/>
      <c r="J425" s="3"/>
      <c r="K425" s="3"/>
      <c r="L425" s="3"/>
    </row>
    <row x14ac:dyDescent="0.25" r="426" customHeight="1" ht="18.75">
      <c r="A426" s="17"/>
      <c r="B426" s="17"/>
      <c r="C426" s="3"/>
      <c r="D426" s="3"/>
      <c r="E426" s="3"/>
      <c r="F426" s="3"/>
      <c r="G426" s="3"/>
      <c r="H426" s="3"/>
      <c r="I426" s="3"/>
      <c r="J426" s="3"/>
      <c r="K426" s="3"/>
      <c r="L426" s="3"/>
    </row>
    <row x14ac:dyDescent="0.25" r="427" customHeight="1" ht="18.75">
      <c r="A427" s="17"/>
      <c r="B427" s="17"/>
      <c r="C427" s="3"/>
      <c r="D427" s="3"/>
      <c r="E427" s="3"/>
      <c r="F427" s="3"/>
      <c r="G427" s="3"/>
      <c r="H427" s="3"/>
      <c r="I427" s="3"/>
      <c r="J427" s="3"/>
      <c r="K427" s="3"/>
      <c r="L427" s="3"/>
    </row>
    <row x14ac:dyDescent="0.25" r="428" customHeight="1" ht="18.75">
      <c r="A428" s="17"/>
      <c r="B428" s="17"/>
      <c r="C428" s="3"/>
      <c r="D428" s="3"/>
      <c r="E428" s="3"/>
      <c r="F428" s="3"/>
      <c r="G428" s="3"/>
      <c r="H428" s="3"/>
      <c r="I428" s="3"/>
      <c r="J428" s="3"/>
      <c r="K428" s="3"/>
      <c r="L428" s="3"/>
    </row>
    <row x14ac:dyDescent="0.25" r="429" customHeight="1" ht="18.75">
      <c r="A429" s="17"/>
      <c r="B429" s="17"/>
      <c r="C429" s="3"/>
      <c r="D429" s="3"/>
      <c r="E429" s="3"/>
      <c r="F429" s="3"/>
      <c r="G429" s="3"/>
      <c r="H429" s="3"/>
      <c r="I429" s="3"/>
      <c r="J429" s="3"/>
      <c r="K429" s="3"/>
      <c r="L429" s="3"/>
    </row>
    <row x14ac:dyDescent="0.25" r="430" customHeight="1" ht="18.75">
      <c r="A430" s="17"/>
      <c r="B430" s="17"/>
      <c r="C430" s="3"/>
      <c r="D430" s="3"/>
      <c r="E430" s="3"/>
      <c r="F430" s="3"/>
      <c r="G430" s="3"/>
      <c r="H430" s="3"/>
      <c r="I430" s="3"/>
      <c r="J430" s="3"/>
      <c r="K430" s="3"/>
      <c r="L430" s="3"/>
    </row>
    <row x14ac:dyDescent="0.25" r="431" customHeight="1" ht="18.75">
      <c r="A431" s="17"/>
      <c r="B431" s="17"/>
      <c r="C431" s="3"/>
      <c r="D431" s="3"/>
      <c r="E431" s="3"/>
      <c r="F431" s="3"/>
      <c r="G431" s="3"/>
      <c r="H431" s="3"/>
      <c r="I431" s="3"/>
      <c r="J431" s="3"/>
      <c r="K431" s="3"/>
      <c r="L431" s="3"/>
    </row>
    <row x14ac:dyDescent="0.25" r="432" customHeight="1" ht="18.75">
      <c r="A432" s="17"/>
      <c r="B432" s="17"/>
      <c r="C432" s="3"/>
      <c r="D432" s="3"/>
      <c r="E432" s="3"/>
      <c r="F432" s="3"/>
      <c r="G432" s="3"/>
      <c r="H432" s="3"/>
      <c r="I432" s="3"/>
      <c r="J432" s="3"/>
      <c r="K432" s="3"/>
      <c r="L432" s="3"/>
    </row>
    <row x14ac:dyDescent="0.25" r="433" customHeight="1" ht="18.75">
      <c r="A433" s="17"/>
      <c r="B433" s="17"/>
      <c r="C433" s="3"/>
      <c r="D433" s="3"/>
      <c r="E433" s="3"/>
      <c r="F433" s="3"/>
      <c r="G433" s="3"/>
      <c r="H433" s="3"/>
      <c r="I433" s="3"/>
      <c r="J433" s="3"/>
      <c r="K433" s="3"/>
      <c r="L433" s="3"/>
    </row>
    <row x14ac:dyDescent="0.25" r="434" customHeight="1" ht="18.75">
      <c r="A434" s="17"/>
      <c r="B434" s="17"/>
      <c r="C434" s="3"/>
      <c r="D434" s="3"/>
      <c r="E434" s="3"/>
      <c r="F434" s="3"/>
      <c r="G434" s="3"/>
      <c r="H434" s="3"/>
      <c r="I434" s="3"/>
      <c r="J434" s="3"/>
      <c r="K434" s="3"/>
      <c r="L434" s="3"/>
    </row>
    <row x14ac:dyDescent="0.25" r="435" customHeight="1" ht="18.75">
      <c r="A435" s="17"/>
      <c r="B435" s="17"/>
      <c r="C435" s="3"/>
      <c r="D435" s="3"/>
      <c r="E435" s="3"/>
      <c r="F435" s="3"/>
      <c r="G435" s="3"/>
      <c r="H435" s="3"/>
      <c r="I435" s="3"/>
      <c r="J435" s="3"/>
      <c r="K435" s="3"/>
      <c r="L435" s="3"/>
    </row>
    <row x14ac:dyDescent="0.25" r="436" customHeight="1" ht="18.75">
      <c r="A436" s="17"/>
      <c r="B436" s="17"/>
      <c r="C436" s="3"/>
      <c r="D436" s="3"/>
      <c r="E436" s="3"/>
      <c r="F436" s="3"/>
      <c r="G436" s="3"/>
      <c r="H436" s="3"/>
      <c r="I436" s="3"/>
      <c r="J436" s="3"/>
      <c r="K436" s="3"/>
      <c r="L436" s="3"/>
    </row>
    <row x14ac:dyDescent="0.25" r="437" customHeight="1" ht="18.75">
      <c r="A437" s="17"/>
      <c r="B437" s="17"/>
      <c r="C437" s="3"/>
      <c r="D437" s="3"/>
      <c r="E437" s="3"/>
      <c r="F437" s="3"/>
      <c r="G437" s="3"/>
      <c r="H437" s="3"/>
      <c r="I437" s="3"/>
      <c r="J437" s="3"/>
      <c r="K437" s="3"/>
      <c r="L437" s="3"/>
    </row>
    <row x14ac:dyDescent="0.25" r="438" customHeight="1" ht="18.75">
      <c r="A438" s="17"/>
      <c r="B438" s="17"/>
      <c r="C438" s="3"/>
      <c r="D438" s="3"/>
      <c r="E438" s="3"/>
      <c r="F438" s="3"/>
      <c r="G438" s="3"/>
      <c r="H438" s="3"/>
      <c r="I438" s="3"/>
      <c r="J438" s="3"/>
      <c r="K438" s="3"/>
      <c r="L438" s="3"/>
    </row>
    <row x14ac:dyDescent="0.25" r="439" customHeight="1" ht="18.75">
      <c r="A439" s="17"/>
      <c r="B439" s="17"/>
      <c r="C439" s="3"/>
      <c r="D439" s="3"/>
      <c r="E439" s="3"/>
      <c r="F439" s="3"/>
      <c r="G439" s="3"/>
      <c r="H439" s="3"/>
      <c r="I439" s="3"/>
      <c r="J439" s="3"/>
      <c r="K439" s="3"/>
      <c r="L439" s="3"/>
    </row>
    <row x14ac:dyDescent="0.25" r="440" customHeight="1" ht="18.75">
      <c r="A440" s="17"/>
      <c r="B440" s="17"/>
      <c r="C440" s="3"/>
      <c r="D440" s="3"/>
      <c r="E440" s="3"/>
      <c r="F440" s="3"/>
      <c r="G440" s="3"/>
      <c r="H440" s="3"/>
      <c r="I440" s="3"/>
      <c r="J440" s="3"/>
      <c r="K440" s="3"/>
      <c r="L440" s="3"/>
    </row>
    <row x14ac:dyDescent="0.25" r="441" customHeight="1" ht="18.75">
      <c r="A441" s="17"/>
      <c r="B441" s="17"/>
      <c r="C441" s="3"/>
      <c r="D441" s="3"/>
      <c r="E441" s="3"/>
      <c r="F441" s="3"/>
      <c r="G441" s="3"/>
      <c r="H441" s="3"/>
      <c r="I441" s="3"/>
      <c r="J441" s="3"/>
      <c r="K441" s="3"/>
      <c r="L441" s="3"/>
    </row>
    <row x14ac:dyDescent="0.25" r="442" customHeight="1" ht="18.75">
      <c r="A442" s="17"/>
      <c r="B442" s="17"/>
      <c r="C442" s="3"/>
      <c r="D442" s="3"/>
      <c r="E442" s="3"/>
      <c r="F442" s="3"/>
      <c r="G442" s="3"/>
      <c r="H442" s="3"/>
      <c r="I442" s="3"/>
      <c r="J442" s="3"/>
      <c r="K442" s="3"/>
      <c r="L442" s="3"/>
    </row>
    <row x14ac:dyDescent="0.25" r="443" customHeight="1" ht="18.75">
      <c r="A443" s="17"/>
      <c r="B443" s="17"/>
      <c r="C443" s="3"/>
      <c r="D443" s="3"/>
      <c r="E443" s="3"/>
      <c r="F443" s="3"/>
      <c r="G443" s="3"/>
      <c r="H443" s="3"/>
      <c r="I443" s="3"/>
      <c r="J443" s="3"/>
      <c r="K443" s="3"/>
      <c r="L443" s="3"/>
    </row>
    <row x14ac:dyDescent="0.25" r="444" customHeight="1" ht="18.75">
      <c r="A444" s="17"/>
      <c r="B444" s="17"/>
      <c r="C444" s="3"/>
      <c r="D444" s="3"/>
      <c r="E444" s="3"/>
      <c r="F444" s="3"/>
      <c r="G444" s="3"/>
      <c r="H444" s="3"/>
      <c r="I444" s="3"/>
      <c r="J444" s="3"/>
      <c r="K444" s="3"/>
      <c r="L444" s="3"/>
    </row>
    <row x14ac:dyDescent="0.25" r="445" customHeight="1" ht="18.75">
      <c r="A445" s="17"/>
      <c r="B445" s="17"/>
      <c r="C445" s="3"/>
      <c r="D445" s="3"/>
      <c r="E445" s="3"/>
      <c r="F445" s="3"/>
      <c r="G445" s="3"/>
      <c r="H445" s="3"/>
      <c r="I445" s="3"/>
      <c r="J445" s="3"/>
      <c r="K445" s="3"/>
      <c r="L445" s="3"/>
    </row>
    <row x14ac:dyDescent="0.25" r="446" customHeight="1" ht="18.75">
      <c r="A446" s="17"/>
      <c r="B446" s="17"/>
      <c r="C446" s="3"/>
      <c r="D446" s="3"/>
      <c r="E446" s="3"/>
      <c r="F446" s="3"/>
      <c r="G446" s="3"/>
      <c r="H446" s="3"/>
      <c r="I446" s="3"/>
      <c r="J446" s="3"/>
      <c r="K446" s="3"/>
      <c r="L446" s="3"/>
    </row>
    <row x14ac:dyDescent="0.25" r="447" customHeight="1" ht="18.75">
      <c r="A447" s="17"/>
      <c r="B447" s="17"/>
      <c r="C447" s="3"/>
      <c r="D447" s="3"/>
      <c r="E447" s="3"/>
      <c r="F447" s="3"/>
      <c r="G447" s="3"/>
      <c r="H447" s="3"/>
      <c r="I447" s="3"/>
      <c r="J447" s="3"/>
      <c r="K447" s="3"/>
      <c r="L447" s="3"/>
    </row>
    <row x14ac:dyDescent="0.25" r="448" customHeight="1" ht="18.75">
      <c r="A448" s="17"/>
      <c r="B448" s="17"/>
      <c r="C448" s="3"/>
      <c r="D448" s="3"/>
      <c r="E448" s="3"/>
      <c r="F448" s="3"/>
      <c r="G448" s="3"/>
      <c r="H448" s="3"/>
      <c r="I448" s="3"/>
      <c r="J448" s="3"/>
      <c r="K448" s="3"/>
      <c r="L448" s="3"/>
    </row>
    <row x14ac:dyDescent="0.25" r="449" customHeight="1" ht="18.75">
      <c r="A449" s="17"/>
      <c r="B449" s="17"/>
      <c r="C449" s="3"/>
      <c r="D449" s="3"/>
      <c r="E449" s="3"/>
      <c r="F449" s="3"/>
      <c r="G449" s="3"/>
      <c r="H449" s="3"/>
      <c r="I449" s="3"/>
      <c r="J449" s="3"/>
      <c r="K449" s="3"/>
      <c r="L449" s="3"/>
    </row>
    <row x14ac:dyDescent="0.25" r="450" customHeight="1" ht="18.75">
      <c r="A450" s="17"/>
      <c r="B450" s="17"/>
      <c r="C450" s="3"/>
      <c r="D450" s="3"/>
      <c r="E450" s="3"/>
      <c r="F450" s="3"/>
      <c r="G450" s="3"/>
      <c r="H450" s="3"/>
      <c r="I450" s="3"/>
      <c r="J450" s="3"/>
      <c r="K450" s="3"/>
      <c r="L450" s="3"/>
    </row>
    <row x14ac:dyDescent="0.25" r="451" customHeight="1" ht="18.75">
      <c r="A451" s="17"/>
      <c r="B451" s="17"/>
      <c r="C451" s="3"/>
      <c r="D451" s="3"/>
      <c r="E451" s="3"/>
      <c r="F451" s="3"/>
      <c r="G451" s="3"/>
      <c r="H451" s="3"/>
      <c r="I451" s="3"/>
      <c r="J451" s="3"/>
      <c r="K451" s="3"/>
      <c r="L451" s="3"/>
    </row>
    <row x14ac:dyDescent="0.25" r="452" customHeight="1" ht="18.75">
      <c r="A452" s="17"/>
      <c r="B452" s="17"/>
      <c r="C452" s="3"/>
      <c r="D452" s="3"/>
      <c r="E452" s="3"/>
      <c r="F452" s="3"/>
      <c r="G452" s="3"/>
      <c r="H452" s="3"/>
      <c r="I452" s="3"/>
      <c r="J452" s="3"/>
      <c r="K452" s="3"/>
      <c r="L452" s="3"/>
    </row>
    <row x14ac:dyDescent="0.25" r="453" customHeight="1" ht="18.75">
      <c r="A453" s="17"/>
      <c r="B453" s="17"/>
      <c r="C453" s="3"/>
      <c r="D453" s="3"/>
      <c r="E453" s="3"/>
      <c r="F453" s="3"/>
      <c r="G453" s="3"/>
      <c r="H453" s="3"/>
      <c r="I453" s="3"/>
      <c r="J453" s="3"/>
      <c r="K453" s="3"/>
      <c r="L453" s="3"/>
    </row>
    <row x14ac:dyDescent="0.25" r="454" customHeight="1" ht="18.75">
      <c r="A454" s="17"/>
      <c r="B454" s="17"/>
      <c r="C454" s="3"/>
      <c r="D454" s="3"/>
      <c r="E454" s="3"/>
      <c r="F454" s="3"/>
      <c r="G454" s="3"/>
      <c r="H454" s="3"/>
      <c r="I454" s="3"/>
      <c r="J454" s="3"/>
      <c r="K454" s="3"/>
      <c r="L454" s="3"/>
    </row>
    <row x14ac:dyDescent="0.25" r="455" customHeight="1" ht="18.75">
      <c r="A455" s="17"/>
      <c r="B455" s="17"/>
      <c r="C455" s="3"/>
      <c r="D455" s="3"/>
      <c r="E455" s="3"/>
      <c r="F455" s="3"/>
      <c r="G455" s="3"/>
      <c r="H455" s="3"/>
      <c r="I455" s="3"/>
      <c r="J455" s="3"/>
      <c r="K455" s="3"/>
      <c r="L455" s="3"/>
    </row>
    <row x14ac:dyDescent="0.25" r="456" customHeight="1" ht="18.75">
      <c r="A456" s="17"/>
      <c r="B456" s="17"/>
      <c r="C456" s="3"/>
      <c r="D456" s="3"/>
      <c r="E456" s="3"/>
      <c r="F456" s="3"/>
      <c r="G456" s="3"/>
      <c r="H456" s="3"/>
      <c r="I456" s="3"/>
      <c r="J456" s="3"/>
      <c r="K456" s="3"/>
      <c r="L456" s="3"/>
    </row>
    <row x14ac:dyDescent="0.25" r="457" customHeight="1" ht="18.75">
      <c r="A457" s="17"/>
      <c r="B457" s="17"/>
      <c r="C457" s="3"/>
      <c r="D457" s="3"/>
      <c r="E457" s="3"/>
      <c r="F457" s="3"/>
      <c r="G457" s="3"/>
      <c r="H457" s="3"/>
      <c r="I457" s="3"/>
      <c r="J457" s="3"/>
      <c r="K457" s="3"/>
      <c r="L457" s="3"/>
    </row>
    <row x14ac:dyDescent="0.25" r="458" customHeight="1" ht="18.75">
      <c r="A458" s="17"/>
      <c r="B458" s="17"/>
      <c r="C458" s="3"/>
      <c r="D458" s="3"/>
      <c r="E458" s="3"/>
      <c r="F458" s="3"/>
      <c r="G458" s="3"/>
      <c r="H458" s="3"/>
      <c r="I458" s="3"/>
      <c r="J458" s="3"/>
      <c r="K458" s="3"/>
      <c r="L458" s="3"/>
    </row>
    <row x14ac:dyDescent="0.25" r="459" customHeight="1" ht="18.75">
      <c r="A459" s="17"/>
      <c r="B459" s="17"/>
      <c r="C459" s="3"/>
      <c r="D459" s="3"/>
      <c r="E459" s="3"/>
      <c r="F459" s="3"/>
      <c r="G459" s="3"/>
      <c r="H459" s="3"/>
      <c r="I459" s="3"/>
      <c r="J459" s="3"/>
      <c r="K459" s="3"/>
      <c r="L459" s="3"/>
    </row>
    <row x14ac:dyDescent="0.25" r="460" customHeight="1" ht="18.75">
      <c r="A460" s="17"/>
      <c r="B460" s="17"/>
      <c r="C460" s="3"/>
      <c r="D460" s="3"/>
      <c r="E460" s="3"/>
      <c r="F460" s="3"/>
      <c r="G460" s="3"/>
      <c r="H460" s="3"/>
      <c r="I460" s="3"/>
      <c r="J460" s="3"/>
      <c r="K460" s="3"/>
      <c r="L460" s="3"/>
    </row>
    <row x14ac:dyDescent="0.25" r="461" customHeight="1" ht="18.75">
      <c r="A461" s="17"/>
      <c r="B461" s="17"/>
      <c r="C461" s="3"/>
      <c r="D461" s="3"/>
      <c r="E461" s="3"/>
      <c r="F461" s="3"/>
      <c r="G461" s="3"/>
      <c r="H461" s="3"/>
      <c r="I461" s="3"/>
      <c r="J461" s="3"/>
      <c r="K461" s="3"/>
      <c r="L461" s="3"/>
    </row>
    <row x14ac:dyDescent="0.25" r="462" customHeight="1" ht="18.75">
      <c r="A462" s="17"/>
      <c r="B462" s="17"/>
      <c r="C462" s="3"/>
      <c r="D462" s="3"/>
      <c r="E462" s="3"/>
      <c r="F462" s="3"/>
      <c r="G462" s="3"/>
      <c r="H462" s="3"/>
      <c r="I462" s="3"/>
      <c r="J462" s="3"/>
      <c r="K462" s="3"/>
      <c r="L462" s="3"/>
    </row>
    <row x14ac:dyDescent="0.25" r="463" customHeight="1" ht="18.75">
      <c r="A463" s="17"/>
      <c r="B463" s="17"/>
      <c r="C463" s="3"/>
      <c r="D463" s="3"/>
      <c r="E463" s="3"/>
      <c r="F463" s="3"/>
      <c r="G463" s="3"/>
      <c r="H463" s="3"/>
      <c r="I463" s="3"/>
      <c r="J463" s="3"/>
      <c r="K463" s="3"/>
      <c r="L463" s="3"/>
    </row>
    <row x14ac:dyDescent="0.25" r="464" customHeight="1" ht="18.75">
      <c r="A464" s="17"/>
      <c r="B464" s="17"/>
      <c r="C464" s="3"/>
      <c r="D464" s="3"/>
      <c r="E464" s="3"/>
      <c r="F464" s="3"/>
      <c r="G464" s="3"/>
      <c r="H464" s="3"/>
      <c r="I464" s="3"/>
      <c r="J464" s="3"/>
      <c r="K464" s="3"/>
      <c r="L464" s="3"/>
    </row>
    <row x14ac:dyDescent="0.25" r="465" customHeight="1" ht="18.75">
      <c r="A465" s="17"/>
      <c r="B465" s="17"/>
      <c r="C465" s="3"/>
      <c r="D465" s="3"/>
      <c r="E465" s="3"/>
      <c r="F465" s="3"/>
      <c r="G465" s="3"/>
      <c r="H465" s="3"/>
      <c r="I465" s="3"/>
      <c r="J465" s="3"/>
      <c r="K465" s="3"/>
      <c r="L465" s="3"/>
    </row>
    <row x14ac:dyDescent="0.25" r="466" customHeight="1" ht="18.75">
      <c r="A466" s="17"/>
      <c r="B466" s="17"/>
      <c r="C466" s="3"/>
      <c r="D466" s="3"/>
      <c r="E466" s="3"/>
      <c r="F466" s="3"/>
      <c r="G466" s="3"/>
      <c r="H466" s="3"/>
      <c r="I466" s="3"/>
      <c r="J466" s="3"/>
      <c r="K466" s="3"/>
      <c r="L466" s="3"/>
    </row>
    <row x14ac:dyDescent="0.25" r="467" customHeight="1" ht="18.75">
      <c r="A467" s="17"/>
      <c r="B467" s="17"/>
      <c r="C467" s="3"/>
      <c r="D467" s="3"/>
      <c r="E467" s="3"/>
      <c r="F467" s="3"/>
      <c r="G467" s="3"/>
      <c r="H467" s="3"/>
      <c r="I467" s="3"/>
      <c r="J467" s="3"/>
      <c r="K467" s="3"/>
      <c r="L467" s="3"/>
    </row>
    <row x14ac:dyDescent="0.25" r="468" customHeight="1" ht="18.75">
      <c r="A468" s="17"/>
      <c r="B468" s="17"/>
      <c r="C468" s="3"/>
      <c r="D468" s="3"/>
      <c r="E468" s="3"/>
      <c r="F468" s="3"/>
      <c r="G468" s="3"/>
      <c r="H468" s="3"/>
      <c r="I468" s="3"/>
      <c r="J468" s="3"/>
      <c r="K468" s="3"/>
      <c r="L468" s="3"/>
    </row>
    <row x14ac:dyDescent="0.25" r="469" customHeight="1" ht="18.75">
      <c r="A469" s="17"/>
      <c r="B469" s="17"/>
      <c r="C469" s="3"/>
      <c r="D469" s="3"/>
      <c r="E469" s="3"/>
      <c r="F469" s="3"/>
      <c r="G469" s="3"/>
      <c r="H469" s="3"/>
      <c r="I469" s="3"/>
      <c r="J469" s="3"/>
      <c r="K469" s="3"/>
      <c r="L469" s="3"/>
    </row>
    <row x14ac:dyDescent="0.25" r="470" customHeight="1" ht="18.75">
      <c r="A470" s="17"/>
      <c r="B470" s="17"/>
      <c r="C470" s="3"/>
      <c r="D470" s="3"/>
      <c r="E470" s="3"/>
      <c r="F470" s="3"/>
      <c r="G470" s="3"/>
      <c r="H470" s="3"/>
      <c r="I470" s="3"/>
      <c r="J470" s="3"/>
      <c r="K470" s="3"/>
      <c r="L470" s="3"/>
    </row>
    <row x14ac:dyDescent="0.25" r="471" customHeight="1" ht="18.75">
      <c r="A471" s="17"/>
      <c r="B471" s="17"/>
      <c r="C471" s="3"/>
      <c r="D471" s="3"/>
      <c r="E471" s="3"/>
      <c r="F471" s="3"/>
      <c r="G471" s="3"/>
      <c r="H471" s="3"/>
      <c r="I471" s="3"/>
      <c r="J471" s="3"/>
      <c r="K471" s="3"/>
      <c r="L471" s="3"/>
    </row>
    <row x14ac:dyDescent="0.25" r="472" customHeight="1" ht="18.75">
      <c r="A472" s="17"/>
      <c r="B472" s="17"/>
      <c r="C472" s="3"/>
      <c r="D472" s="3"/>
      <c r="E472" s="3"/>
      <c r="F472" s="3"/>
      <c r="G472" s="3"/>
      <c r="H472" s="3"/>
      <c r="I472" s="3"/>
      <c r="J472" s="3"/>
      <c r="K472" s="3"/>
      <c r="L472" s="3"/>
    </row>
    <row x14ac:dyDescent="0.25" r="473" customHeight="1" ht="18.75">
      <c r="A473" s="17"/>
      <c r="B473" s="17"/>
      <c r="C473" s="3"/>
      <c r="D473" s="3"/>
      <c r="E473" s="3"/>
      <c r="F473" s="3"/>
      <c r="G473" s="3"/>
      <c r="H473" s="3"/>
      <c r="I473" s="3"/>
      <c r="J473" s="3"/>
      <c r="K473" s="3"/>
      <c r="L473" s="3"/>
    </row>
    <row x14ac:dyDescent="0.25" r="474" customHeight="1" ht="18.75">
      <c r="A474" s="17"/>
      <c r="B474" s="17"/>
      <c r="C474" s="3"/>
      <c r="D474" s="3"/>
      <c r="E474" s="3"/>
      <c r="F474" s="3"/>
      <c r="G474" s="3"/>
      <c r="H474" s="3"/>
      <c r="I474" s="3"/>
      <c r="J474" s="3"/>
      <c r="K474" s="3"/>
      <c r="L474" s="3"/>
    </row>
    <row x14ac:dyDescent="0.25" r="475" customHeight="1" ht="18.75">
      <c r="A475" s="17"/>
      <c r="B475" s="17"/>
      <c r="C475" s="3"/>
      <c r="D475" s="3"/>
      <c r="E475" s="3"/>
      <c r="F475" s="3"/>
      <c r="G475" s="3"/>
      <c r="H475" s="3"/>
      <c r="I475" s="3"/>
      <c r="J475" s="3"/>
      <c r="K475" s="3"/>
      <c r="L475" s="3"/>
    </row>
    <row x14ac:dyDescent="0.25" r="476" customHeight="1" ht="18.75">
      <c r="A476" s="17"/>
      <c r="B476" s="17"/>
      <c r="C476" s="3"/>
      <c r="D476" s="3"/>
      <c r="E476" s="3"/>
      <c r="F476" s="3"/>
      <c r="G476" s="3"/>
      <c r="H476" s="3"/>
      <c r="I476" s="3"/>
      <c r="J476" s="3"/>
      <c r="K476" s="3"/>
      <c r="L476" s="3"/>
    </row>
    <row x14ac:dyDescent="0.25" r="477" customHeight="1" ht="18.75">
      <c r="A477" s="17"/>
      <c r="B477" s="17"/>
      <c r="C477" s="3"/>
      <c r="D477" s="3"/>
      <c r="E477" s="3"/>
      <c r="F477" s="3"/>
      <c r="G477" s="3"/>
      <c r="H477" s="3"/>
      <c r="I477" s="3"/>
      <c r="J477" s="3"/>
      <c r="K477" s="3"/>
      <c r="L477" s="3"/>
    </row>
    <row x14ac:dyDescent="0.25" r="478" customHeight="1" ht="18.75">
      <c r="A478" s="17"/>
      <c r="B478" s="17"/>
      <c r="C478" s="3"/>
      <c r="D478" s="3"/>
      <c r="E478" s="3"/>
      <c r="F478" s="3"/>
      <c r="G478" s="3"/>
      <c r="H478" s="3"/>
      <c r="I478" s="3"/>
      <c r="J478" s="3"/>
      <c r="K478" s="3"/>
      <c r="L478" s="3"/>
    </row>
    <row x14ac:dyDescent="0.25" r="479" customHeight="1" ht="18.75">
      <c r="A479" s="17"/>
      <c r="B479" s="17"/>
      <c r="C479" s="3"/>
      <c r="D479" s="3"/>
      <c r="E479" s="3"/>
      <c r="F479" s="3"/>
      <c r="G479" s="3"/>
      <c r="H479" s="3"/>
      <c r="I479" s="3"/>
      <c r="J479" s="3"/>
      <c r="K479" s="3"/>
      <c r="L479" s="3"/>
    </row>
    <row x14ac:dyDescent="0.25" r="480" customHeight="1" ht="18.75">
      <c r="A480" s="17"/>
      <c r="B480" s="17"/>
      <c r="C480" s="3"/>
      <c r="D480" s="3"/>
      <c r="E480" s="3"/>
      <c r="F480" s="3"/>
      <c r="G480" s="3"/>
      <c r="H480" s="3"/>
      <c r="I480" s="3"/>
      <c r="J480" s="3"/>
      <c r="K480" s="3"/>
      <c r="L480" s="3"/>
    </row>
    <row x14ac:dyDescent="0.25" r="481" customHeight="1" ht="18.75">
      <c r="A481" s="17"/>
      <c r="B481" s="17"/>
      <c r="C481" s="3"/>
      <c r="D481" s="3"/>
      <c r="E481" s="3"/>
      <c r="F481" s="3"/>
      <c r="G481" s="3"/>
      <c r="H481" s="3"/>
      <c r="I481" s="3"/>
      <c r="J481" s="3"/>
      <c r="K481" s="3"/>
      <c r="L481" s="3"/>
    </row>
    <row x14ac:dyDescent="0.25" r="482" customHeight="1" ht="18.75">
      <c r="A482" s="17"/>
      <c r="B482" s="17"/>
      <c r="C482" s="3"/>
      <c r="D482" s="3"/>
      <c r="E482" s="3"/>
      <c r="F482" s="3"/>
      <c r="G482" s="3"/>
      <c r="H482" s="3"/>
      <c r="I482" s="3"/>
      <c r="J482" s="3"/>
      <c r="K482" s="3"/>
      <c r="L482" s="3"/>
    </row>
    <row x14ac:dyDescent="0.25" r="483" customHeight="1" ht="18.75">
      <c r="A483" s="17"/>
      <c r="B483" s="17"/>
      <c r="C483" s="3"/>
      <c r="D483" s="3"/>
      <c r="E483" s="3"/>
      <c r="F483" s="3"/>
      <c r="G483" s="3"/>
      <c r="H483" s="3"/>
      <c r="I483" s="3"/>
      <c r="J483" s="3"/>
      <c r="K483" s="3"/>
      <c r="L483" s="3"/>
    </row>
    <row x14ac:dyDescent="0.25" r="484" customHeight="1" ht="18.75">
      <c r="A484" s="17"/>
      <c r="B484" s="17"/>
      <c r="C484" s="3"/>
      <c r="D484" s="3"/>
      <c r="E484" s="3"/>
      <c r="F484" s="3"/>
      <c r="G484" s="3"/>
      <c r="H484" s="3"/>
      <c r="I484" s="3"/>
      <c r="J484" s="3"/>
      <c r="K484" s="3"/>
      <c r="L484" s="3"/>
    </row>
    <row x14ac:dyDescent="0.25" r="485" customHeight="1" ht="18.75">
      <c r="A485" s="17"/>
      <c r="B485" s="17"/>
      <c r="C485" s="3"/>
      <c r="D485" s="3"/>
      <c r="E485" s="3"/>
      <c r="F485" s="3"/>
      <c r="G485" s="3"/>
      <c r="H485" s="3"/>
      <c r="I485" s="3"/>
      <c r="J485" s="3"/>
      <c r="K485" s="3"/>
      <c r="L485" s="3"/>
    </row>
    <row x14ac:dyDescent="0.25" r="486" customHeight="1" ht="18.75">
      <c r="A486" s="17"/>
      <c r="B486" s="17"/>
      <c r="C486" s="3"/>
      <c r="D486" s="3"/>
      <c r="E486" s="3"/>
      <c r="F486" s="3"/>
      <c r="G486" s="3"/>
      <c r="H486" s="3"/>
      <c r="I486" s="3"/>
      <c r="J486" s="3"/>
      <c r="K486" s="3"/>
      <c r="L486" s="3"/>
    </row>
    <row x14ac:dyDescent="0.25" r="487" customHeight="1" ht="18.75">
      <c r="A487" s="17"/>
      <c r="B487" s="17"/>
      <c r="C487" s="3"/>
      <c r="D487" s="3"/>
      <c r="E487" s="3"/>
      <c r="F487" s="3"/>
      <c r="G487" s="3"/>
      <c r="H487" s="3"/>
      <c r="I487" s="3"/>
      <c r="J487" s="3"/>
      <c r="K487" s="3"/>
      <c r="L487" s="3"/>
    </row>
    <row x14ac:dyDescent="0.25" r="488" customHeight="1" ht="18.75">
      <c r="A488" s="17"/>
      <c r="B488" s="17"/>
      <c r="C488" s="3"/>
      <c r="D488" s="3"/>
      <c r="E488" s="3"/>
      <c r="F488" s="3"/>
      <c r="G488" s="3"/>
      <c r="H488" s="3"/>
      <c r="I488" s="3"/>
      <c r="J488" s="3"/>
      <c r="K488" s="3"/>
      <c r="L488" s="3"/>
    </row>
    <row x14ac:dyDescent="0.25" r="489" customHeight="1" ht="18.75">
      <c r="A489" s="17"/>
      <c r="B489" s="17"/>
      <c r="C489" s="3"/>
      <c r="D489" s="3"/>
      <c r="E489" s="3"/>
      <c r="F489" s="3"/>
      <c r="G489" s="3"/>
      <c r="H489" s="3"/>
      <c r="I489" s="3"/>
      <c r="J489" s="3"/>
      <c r="K489" s="3"/>
      <c r="L489" s="3"/>
    </row>
    <row x14ac:dyDescent="0.25" r="490" customHeight="1" ht="18.75">
      <c r="A490" s="17"/>
      <c r="B490" s="17"/>
      <c r="C490" s="3"/>
      <c r="D490" s="3"/>
      <c r="E490" s="3"/>
      <c r="F490" s="3"/>
      <c r="G490" s="3"/>
      <c r="H490" s="3"/>
      <c r="I490" s="3"/>
      <c r="J490" s="3"/>
      <c r="K490" s="3"/>
      <c r="L490" s="3"/>
    </row>
    <row x14ac:dyDescent="0.25" r="491" customHeight="1" ht="18.75">
      <c r="A491" s="17"/>
      <c r="B491" s="17"/>
      <c r="C491" s="3"/>
      <c r="D491" s="3"/>
      <c r="E491" s="3"/>
      <c r="F491" s="3"/>
      <c r="G491" s="3"/>
      <c r="H491" s="3"/>
      <c r="I491" s="3"/>
      <c r="J491" s="3"/>
      <c r="K491" s="3"/>
      <c r="L491" s="3"/>
    </row>
    <row x14ac:dyDescent="0.25" r="492" customHeight="1" ht="18.75">
      <c r="A492" s="17"/>
      <c r="B492" s="17"/>
      <c r="C492" s="3"/>
      <c r="D492" s="3"/>
      <c r="E492" s="3"/>
      <c r="F492" s="3"/>
      <c r="G492" s="3"/>
      <c r="H492" s="3"/>
      <c r="I492" s="3"/>
      <c r="J492" s="3"/>
      <c r="K492" s="3"/>
      <c r="L492" s="3"/>
    </row>
    <row x14ac:dyDescent="0.25" r="493" customHeight="1" ht="18.75">
      <c r="A493" s="17"/>
      <c r="B493" s="17"/>
      <c r="C493" s="3"/>
      <c r="D493" s="3"/>
      <c r="E493" s="3"/>
      <c r="F493" s="3"/>
      <c r="G493" s="3"/>
      <c r="H493" s="3"/>
      <c r="I493" s="3"/>
      <c r="J493" s="3"/>
      <c r="K493" s="3"/>
      <c r="L493" s="3"/>
    </row>
    <row x14ac:dyDescent="0.25" r="494" customHeight="1" ht="18.75">
      <c r="A494" s="17"/>
      <c r="B494" s="17"/>
      <c r="C494" s="3"/>
      <c r="D494" s="3"/>
      <c r="E494" s="3"/>
      <c r="F494" s="3"/>
      <c r="G494" s="3"/>
      <c r="H494" s="3"/>
      <c r="I494" s="3"/>
      <c r="J494" s="3"/>
      <c r="K494" s="3"/>
      <c r="L494" s="3"/>
    </row>
    <row x14ac:dyDescent="0.25" r="495" customHeight="1" ht="18.75">
      <c r="A495" s="17"/>
      <c r="B495" s="17"/>
      <c r="C495" s="3"/>
      <c r="D495" s="3"/>
      <c r="E495" s="3"/>
      <c r="F495" s="3"/>
      <c r="G495" s="3"/>
      <c r="H495" s="3"/>
      <c r="I495" s="3"/>
      <c r="J495" s="3"/>
      <c r="K495" s="3"/>
      <c r="L495" s="3"/>
    </row>
    <row x14ac:dyDescent="0.25" r="496" customHeight="1" ht="18.75">
      <c r="A496" s="17"/>
      <c r="B496" s="17"/>
      <c r="C496" s="3"/>
      <c r="D496" s="3"/>
      <c r="E496" s="3"/>
      <c r="F496" s="3"/>
      <c r="G496" s="3"/>
      <c r="H496" s="3"/>
      <c r="I496" s="3"/>
      <c r="J496" s="3"/>
      <c r="K496" s="3"/>
      <c r="L496" s="3"/>
    </row>
    <row x14ac:dyDescent="0.25" r="497" customHeight="1" ht="18.75">
      <c r="A497" s="17"/>
      <c r="B497" s="17"/>
      <c r="C497" s="3"/>
      <c r="D497" s="3"/>
      <c r="E497" s="3"/>
      <c r="F497" s="3"/>
      <c r="G497" s="3"/>
      <c r="H497" s="3"/>
      <c r="I497" s="3"/>
      <c r="J497" s="3"/>
      <c r="K497" s="3"/>
      <c r="L497" s="3"/>
    </row>
    <row x14ac:dyDescent="0.25" r="498" customHeight="1" ht="18.75">
      <c r="A498" s="17"/>
      <c r="B498" s="17"/>
      <c r="C498" s="3"/>
      <c r="D498" s="3"/>
      <c r="E498" s="3"/>
      <c r="F498" s="3"/>
      <c r="G498" s="3"/>
      <c r="H498" s="3"/>
      <c r="I498" s="3"/>
      <c r="J498" s="3"/>
      <c r="K498" s="3"/>
      <c r="L498" s="3"/>
    </row>
    <row x14ac:dyDescent="0.25" r="499" customHeight="1" ht="18.75">
      <c r="A499" s="17"/>
      <c r="B499" s="17"/>
      <c r="C499" s="3"/>
      <c r="D499" s="3"/>
      <c r="E499" s="3"/>
      <c r="F499" s="3"/>
      <c r="G499" s="3"/>
      <c r="H499" s="3"/>
      <c r="I499" s="3"/>
      <c r="J499" s="3"/>
      <c r="K499" s="3"/>
      <c r="L499" s="3"/>
    </row>
    <row x14ac:dyDescent="0.25" r="500" customHeight="1" ht="18.75">
      <c r="A500" s="17"/>
      <c r="B500" s="17"/>
      <c r="C500" s="3"/>
      <c r="D500" s="3"/>
      <c r="E500" s="3"/>
      <c r="F500" s="3"/>
      <c r="G500" s="3"/>
      <c r="H500" s="3"/>
      <c r="I500" s="3"/>
      <c r="J500" s="3"/>
      <c r="K500" s="3"/>
      <c r="L500" s="3"/>
    </row>
    <row x14ac:dyDescent="0.25" r="501" customHeight="1" ht="18.75">
      <c r="A501" s="17"/>
      <c r="B501" s="17"/>
      <c r="C501" s="3"/>
      <c r="D501" s="3"/>
      <c r="E501" s="3"/>
      <c r="F501" s="3"/>
      <c r="G501" s="3"/>
      <c r="H501" s="3"/>
      <c r="I501" s="3"/>
      <c r="J501" s="3"/>
      <c r="K501" s="3"/>
      <c r="L501" s="3"/>
    </row>
    <row x14ac:dyDescent="0.25" r="502" customHeight="1" ht="18.75">
      <c r="A502" s="17"/>
      <c r="B502" s="17"/>
      <c r="C502" s="3"/>
      <c r="D502" s="3"/>
      <c r="E502" s="3"/>
      <c r="F502" s="3"/>
      <c r="G502" s="3"/>
      <c r="H502" s="3"/>
      <c r="I502" s="3"/>
      <c r="J502" s="3"/>
      <c r="K502" s="3"/>
      <c r="L502" s="3"/>
    </row>
    <row x14ac:dyDescent="0.25" r="503" customHeight="1" ht="18.75">
      <c r="A503" s="17"/>
      <c r="B503" s="17"/>
      <c r="C503" s="3"/>
      <c r="D503" s="3"/>
      <c r="E503" s="3"/>
      <c r="F503" s="3"/>
      <c r="G503" s="3"/>
      <c r="H503" s="3"/>
      <c r="I503" s="3"/>
      <c r="J503" s="3"/>
      <c r="K503" s="3"/>
      <c r="L503" s="3"/>
    </row>
    <row x14ac:dyDescent="0.25" r="504" customHeight="1" ht="18.75">
      <c r="A504" s="17"/>
      <c r="B504" s="17"/>
      <c r="C504" s="3"/>
      <c r="D504" s="3"/>
      <c r="E504" s="3"/>
      <c r="F504" s="3"/>
      <c r="G504" s="3"/>
      <c r="H504" s="3"/>
      <c r="I504" s="3"/>
      <c r="J504" s="3"/>
      <c r="K504" s="3"/>
      <c r="L504" s="3"/>
    </row>
    <row x14ac:dyDescent="0.25" r="505" customHeight="1" ht="18.75">
      <c r="A505" s="17"/>
      <c r="B505" s="17"/>
      <c r="C505" s="3"/>
      <c r="D505" s="3"/>
      <c r="E505" s="3"/>
      <c r="F505" s="3"/>
      <c r="G505" s="3"/>
      <c r="H505" s="3"/>
      <c r="I505" s="3"/>
      <c r="J505" s="3"/>
      <c r="K505" s="3"/>
      <c r="L505" s="3"/>
    </row>
    <row x14ac:dyDescent="0.25" r="506" customHeight="1" ht="18.75">
      <c r="A506" s="17"/>
      <c r="B506" s="17"/>
      <c r="C506" s="3"/>
      <c r="D506" s="3"/>
      <c r="E506" s="3"/>
      <c r="F506" s="3"/>
      <c r="G506" s="3"/>
      <c r="H506" s="3"/>
      <c r="I506" s="3"/>
      <c r="J506" s="3"/>
      <c r="K506" s="3"/>
      <c r="L506" s="3"/>
    </row>
    <row x14ac:dyDescent="0.25" r="507" customHeight="1" ht="18.75">
      <c r="A507" s="17"/>
      <c r="B507" s="17"/>
      <c r="C507" s="3"/>
      <c r="D507" s="3"/>
      <c r="E507" s="3"/>
      <c r="F507" s="3"/>
      <c r="G507" s="3"/>
      <c r="H507" s="3"/>
      <c r="I507" s="3"/>
      <c r="J507" s="3"/>
      <c r="K507" s="3"/>
      <c r="L507" s="3"/>
    </row>
    <row x14ac:dyDescent="0.25" r="508" customHeight="1" ht="18.75">
      <c r="A508" s="17"/>
      <c r="B508" s="17"/>
      <c r="C508" s="3"/>
      <c r="D508" s="3"/>
      <c r="E508" s="3"/>
      <c r="F508" s="3"/>
      <c r="G508" s="3"/>
      <c r="H508" s="3"/>
      <c r="I508" s="3"/>
      <c r="J508" s="3"/>
      <c r="K508" s="3"/>
      <c r="L508" s="3"/>
    </row>
    <row x14ac:dyDescent="0.25" r="509" customHeight="1" ht="18.75">
      <c r="A509" s="17"/>
      <c r="B509" s="17"/>
      <c r="C509" s="3"/>
      <c r="D509" s="3"/>
      <c r="E509" s="3"/>
      <c r="F509" s="3"/>
      <c r="G509" s="3"/>
      <c r="H509" s="3"/>
      <c r="I509" s="3"/>
      <c r="J509" s="3"/>
      <c r="K509" s="3"/>
      <c r="L509" s="3"/>
    </row>
    <row x14ac:dyDescent="0.25" r="510" customHeight="1" ht="18.75">
      <c r="A510" s="17"/>
      <c r="B510" s="17"/>
      <c r="C510" s="3"/>
      <c r="D510" s="3"/>
      <c r="E510" s="3"/>
      <c r="F510" s="3"/>
      <c r="G510" s="3"/>
      <c r="H510" s="3"/>
      <c r="I510" s="3"/>
      <c r="J510" s="3"/>
      <c r="K510" s="3"/>
      <c r="L510" s="3"/>
    </row>
    <row x14ac:dyDescent="0.25" r="511" customHeight="1" ht="18.75">
      <c r="A511" s="17"/>
      <c r="B511" s="17"/>
      <c r="C511" s="3"/>
      <c r="D511" s="3"/>
      <c r="E511" s="3"/>
      <c r="F511" s="3"/>
      <c r="G511" s="3"/>
      <c r="H511" s="3"/>
      <c r="I511" s="3"/>
      <c r="J511" s="3"/>
      <c r="K511" s="3"/>
      <c r="L511" s="3"/>
    </row>
    <row x14ac:dyDescent="0.25" r="512" customHeight="1" ht="18.75">
      <c r="A512" s="17"/>
      <c r="B512" s="17"/>
      <c r="C512" s="3"/>
      <c r="D512" s="3"/>
      <c r="E512" s="3"/>
      <c r="F512" s="3"/>
      <c r="G512" s="3"/>
      <c r="H512" s="3"/>
      <c r="I512" s="3"/>
      <c r="J512" s="3"/>
      <c r="K512" s="3"/>
      <c r="L512" s="3"/>
    </row>
    <row x14ac:dyDescent="0.25" r="513" customHeight="1" ht="18.75">
      <c r="A513" s="17"/>
      <c r="B513" s="17"/>
      <c r="C513" s="3"/>
      <c r="D513" s="3"/>
      <c r="E513" s="3"/>
      <c r="F513" s="3"/>
      <c r="G513" s="3"/>
      <c r="H513" s="3"/>
      <c r="I513" s="3"/>
      <c r="J513" s="3"/>
      <c r="K513" s="3"/>
      <c r="L513" s="3"/>
    </row>
    <row x14ac:dyDescent="0.25" r="514" customHeight="1" ht="18.75">
      <c r="A514" s="17"/>
      <c r="B514" s="17"/>
      <c r="C514" s="3"/>
      <c r="D514" s="3"/>
      <c r="E514" s="3"/>
      <c r="F514" s="3"/>
      <c r="G514" s="3"/>
      <c r="H514" s="3"/>
      <c r="I514" s="3"/>
      <c r="J514" s="3"/>
      <c r="K514" s="3"/>
      <c r="L514" s="3"/>
    </row>
    <row x14ac:dyDescent="0.25" r="515" customHeight="1" ht="18.75">
      <c r="A515" s="17"/>
      <c r="B515" s="17"/>
      <c r="C515" s="3"/>
      <c r="D515" s="3"/>
      <c r="E515" s="3"/>
      <c r="F515" s="3"/>
      <c r="G515" s="3"/>
      <c r="H515" s="3"/>
      <c r="I515" s="3"/>
      <c r="J515" s="3"/>
      <c r="K515" s="3"/>
      <c r="L515" s="3"/>
    </row>
    <row x14ac:dyDescent="0.25" r="516" customHeight="1" ht="18.75">
      <c r="A516" s="17"/>
      <c r="B516" s="17"/>
      <c r="C516" s="3"/>
      <c r="D516" s="3"/>
      <c r="E516" s="3"/>
      <c r="F516" s="3"/>
      <c r="G516" s="3"/>
      <c r="H516" s="3"/>
      <c r="I516" s="3"/>
      <c r="J516" s="3"/>
      <c r="K516" s="3"/>
      <c r="L516" s="3"/>
    </row>
    <row x14ac:dyDescent="0.25" r="517" customHeight="1" ht="18.75">
      <c r="A517" s="17"/>
      <c r="B517" s="17"/>
      <c r="C517" s="3"/>
      <c r="D517" s="3"/>
      <c r="E517" s="3"/>
      <c r="F517" s="3"/>
      <c r="G517" s="3"/>
      <c r="H517" s="3"/>
      <c r="I517" s="3"/>
      <c r="J517" s="3"/>
      <c r="K517" s="3"/>
      <c r="L517" s="3"/>
    </row>
    <row x14ac:dyDescent="0.25" r="518" customHeight="1" ht="18.75">
      <c r="A518" s="17"/>
      <c r="B518" s="17"/>
      <c r="C518" s="3"/>
      <c r="D518" s="3"/>
      <c r="E518" s="3"/>
      <c r="F518" s="3"/>
      <c r="G518" s="3"/>
      <c r="H518" s="3"/>
      <c r="I518" s="3"/>
      <c r="J518" s="3"/>
      <c r="K518" s="3"/>
      <c r="L518" s="3"/>
    </row>
    <row x14ac:dyDescent="0.25" r="519" customHeight="1" ht="18.75">
      <c r="A519" s="17"/>
      <c r="B519" s="17"/>
      <c r="C519" s="3"/>
      <c r="D519" s="3"/>
      <c r="E519" s="3"/>
      <c r="F519" s="3"/>
      <c r="G519" s="3"/>
      <c r="H519" s="3"/>
      <c r="I519" s="3"/>
      <c r="J519" s="3"/>
      <c r="K519" s="3"/>
      <c r="L519" s="3"/>
    </row>
    <row x14ac:dyDescent="0.25" r="520" customHeight="1" ht="18.75">
      <c r="A520" s="17"/>
      <c r="B520" s="17"/>
      <c r="C520" s="3"/>
      <c r="D520" s="3"/>
      <c r="E520" s="3"/>
      <c r="F520" s="3"/>
      <c r="G520" s="3"/>
      <c r="H520" s="3"/>
      <c r="I520" s="3"/>
      <c r="J520" s="3"/>
      <c r="K520" s="3"/>
      <c r="L520" s="3"/>
    </row>
    <row x14ac:dyDescent="0.25" r="521" customHeight="1" ht="18.75">
      <c r="A521" s="17"/>
      <c r="B521" s="17"/>
      <c r="C521" s="3"/>
      <c r="D521" s="3"/>
      <c r="E521" s="3"/>
      <c r="F521" s="3"/>
      <c r="G521" s="3"/>
      <c r="H521" s="3"/>
      <c r="I521" s="3"/>
      <c r="J521" s="3"/>
      <c r="K521" s="3"/>
      <c r="L521" s="3"/>
    </row>
    <row x14ac:dyDescent="0.25" r="522" customHeight="1" ht="18.75">
      <c r="A522" s="17"/>
      <c r="B522" s="17"/>
      <c r="C522" s="3"/>
      <c r="D522" s="3"/>
      <c r="E522" s="3"/>
      <c r="F522" s="3"/>
      <c r="G522" s="3"/>
      <c r="H522" s="3"/>
      <c r="I522" s="3"/>
      <c r="J522" s="3"/>
      <c r="K522" s="3"/>
      <c r="L522" s="3"/>
    </row>
    <row x14ac:dyDescent="0.25" r="523" customHeight="1" ht="18.75">
      <c r="A523" s="17"/>
      <c r="B523" s="17"/>
      <c r="C523" s="3"/>
      <c r="D523" s="3"/>
      <c r="E523" s="3"/>
      <c r="F523" s="3"/>
      <c r="G523" s="3"/>
      <c r="H523" s="3"/>
      <c r="I523" s="3"/>
      <c r="J523" s="3"/>
      <c r="K523" s="3"/>
      <c r="L523" s="3"/>
    </row>
    <row x14ac:dyDescent="0.25" r="524" customHeight="1" ht="18.75">
      <c r="A524" s="17"/>
      <c r="B524" s="17"/>
      <c r="C524" s="3"/>
      <c r="D524" s="3"/>
      <c r="E524" s="3"/>
      <c r="F524" s="3"/>
      <c r="G524" s="3"/>
      <c r="H524" s="3"/>
      <c r="I524" s="3"/>
      <c r="J524" s="3"/>
      <c r="K524" s="3"/>
      <c r="L524" s="3"/>
    </row>
    <row x14ac:dyDescent="0.25" r="525" customHeight="1" ht="18.75">
      <c r="A525" s="17"/>
      <c r="B525" s="17"/>
      <c r="C525" s="3"/>
      <c r="D525" s="3"/>
      <c r="E525" s="3"/>
      <c r="F525" s="3"/>
      <c r="G525" s="3"/>
      <c r="H525" s="3"/>
      <c r="I525" s="3"/>
      <c r="J525" s="3"/>
      <c r="K525" s="3"/>
      <c r="L525" s="3"/>
    </row>
    <row x14ac:dyDescent="0.25" r="526" customHeight="1" ht="18.75">
      <c r="A526" s="17"/>
      <c r="B526" s="17"/>
      <c r="C526" s="3"/>
      <c r="D526" s="3"/>
      <c r="E526" s="3"/>
      <c r="F526" s="3"/>
      <c r="G526" s="3"/>
      <c r="H526" s="3"/>
      <c r="I526" s="3"/>
      <c r="J526" s="3"/>
      <c r="K526" s="3"/>
      <c r="L526" s="3"/>
    </row>
    <row x14ac:dyDescent="0.25" r="527" customHeight="1" ht="18.75">
      <c r="A527" s="17"/>
      <c r="B527" s="17"/>
      <c r="C527" s="3"/>
      <c r="D527" s="3"/>
      <c r="E527" s="3"/>
      <c r="F527" s="3"/>
      <c r="G527" s="3"/>
      <c r="H527" s="3"/>
      <c r="I527" s="3"/>
      <c r="J527" s="3"/>
      <c r="K527" s="3"/>
      <c r="L527" s="3"/>
    </row>
    <row x14ac:dyDescent="0.25" r="528" customHeight="1" ht="18.75">
      <c r="A528" s="17"/>
      <c r="B528" s="17"/>
      <c r="C528" s="3"/>
      <c r="D528" s="3"/>
      <c r="E528" s="3"/>
      <c r="F528" s="3"/>
      <c r="G528" s="3"/>
      <c r="H528" s="3"/>
      <c r="I528" s="3"/>
      <c r="J528" s="3"/>
      <c r="K528" s="3"/>
      <c r="L528" s="3"/>
    </row>
    <row x14ac:dyDescent="0.25" r="529" customHeight="1" ht="18.75">
      <c r="A529" s="17"/>
      <c r="B529" s="17"/>
      <c r="C529" s="3"/>
      <c r="D529" s="3"/>
      <c r="E529" s="3"/>
      <c r="F529" s="3"/>
      <c r="G529" s="3"/>
      <c r="H529" s="3"/>
      <c r="I529" s="3"/>
      <c r="J529" s="3"/>
      <c r="K529" s="3"/>
      <c r="L529" s="3"/>
    </row>
    <row x14ac:dyDescent="0.25" r="530" customHeight="1" ht="18.75">
      <c r="A530" s="17"/>
      <c r="B530" s="17"/>
      <c r="C530" s="3"/>
      <c r="D530" s="3"/>
      <c r="E530" s="3"/>
      <c r="F530" s="3"/>
      <c r="G530" s="3"/>
      <c r="H530" s="3"/>
      <c r="I530" s="3"/>
      <c r="J530" s="3"/>
      <c r="K530" s="3"/>
      <c r="L530" s="3"/>
    </row>
    <row x14ac:dyDescent="0.25" r="531" customHeight="1" ht="18.75">
      <c r="A531" s="17"/>
      <c r="B531" s="17"/>
      <c r="C531" s="3"/>
      <c r="D531" s="3"/>
      <c r="E531" s="3"/>
      <c r="F531" s="3"/>
      <c r="G531" s="3"/>
      <c r="H531" s="3"/>
      <c r="I531" s="3"/>
      <c r="J531" s="3"/>
      <c r="K531" s="3"/>
      <c r="L531" s="3"/>
    </row>
    <row x14ac:dyDescent="0.25" r="532" customHeight="1" ht="18.75">
      <c r="A532" s="17"/>
      <c r="B532" s="17"/>
      <c r="C532" s="3"/>
      <c r="D532" s="3"/>
      <c r="E532" s="3"/>
      <c r="F532" s="3"/>
      <c r="G532" s="3"/>
      <c r="H532" s="3"/>
      <c r="I532" s="3"/>
      <c r="J532" s="3"/>
      <c r="K532" s="3"/>
      <c r="L532" s="3"/>
    </row>
    <row x14ac:dyDescent="0.25" r="533" customHeight="1" ht="18.75">
      <c r="A533" s="17"/>
      <c r="B533" s="17"/>
      <c r="C533" s="3"/>
      <c r="D533" s="3"/>
      <c r="E533" s="3"/>
      <c r="F533" s="3"/>
      <c r="G533" s="3"/>
      <c r="H533" s="3"/>
      <c r="I533" s="3"/>
      <c r="J533" s="3"/>
      <c r="K533" s="3"/>
      <c r="L533" s="3"/>
    </row>
    <row x14ac:dyDescent="0.25" r="534" customHeight="1" ht="18.75">
      <c r="A534" s="17"/>
      <c r="B534" s="17"/>
      <c r="C534" s="3"/>
      <c r="D534" s="3"/>
      <c r="E534" s="3"/>
      <c r="F534" s="3"/>
      <c r="G534" s="3"/>
      <c r="H534" s="3"/>
      <c r="I534" s="3"/>
      <c r="J534" s="3"/>
      <c r="K534" s="3"/>
      <c r="L534" s="3"/>
    </row>
    <row x14ac:dyDescent="0.25" r="535" customHeight="1" ht="18.75">
      <c r="A535" s="17"/>
      <c r="B535" s="17"/>
      <c r="C535" s="3"/>
      <c r="D535" s="3"/>
      <c r="E535" s="3"/>
      <c r="F535" s="3"/>
      <c r="G535" s="3"/>
      <c r="H535" s="3"/>
      <c r="I535" s="3"/>
      <c r="J535" s="3"/>
      <c r="K535" s="3"/>
      <c r="L535" s="3"/>
    </row>
    <row x14ac:dyDescent="0.25" r="536" customHeight="1" ht="18.75">
      <c r="A536" s="17"/>
      <c r="B536" s="17"/>
      <c r="C536" s="3"/>
      <c r="D536" s="3"/>
      <c r="E536" s="3"/>
      <c r="F536" s="3"/>
      <c r="G536" s="3"/>
      <c r="H536" s="3"/>
      <c r="I536" s="3"/>
      <c r="J536" s="3"/>
      <c r="K536" s="3"/>
      <c r="L536" s="3"/>
    </row>
    <row x14ac:dyDescent="0.25" r="537" customHeight="1" ht="18.75">
      <c r="A537" s="17"/>
      <c r="B537" s="17"/>
      <c r="C537" s="3"/>
      <c r="D537" s="3"/>
      <c r="E537" s="3"/>
      <c r="F537" s="3"/>
      <c r="G537" s="3"/>
      <c r="H537" s="3"/>
      <c r="I537" s="3"/>
      <c r="J537" s="3"/>
      <c r="K537" s="3"/>
      <c r="L537" s="3"/>
    </row>
    <row x14ac:dyDescent="0.25" r="538" customHeight="1" ht="18.75">
      <c r="A538" s="17"/>
      <c r="B538" s="17"/>
      <c r="C538" s="3"/>
      <c r="D538" s="3"/>
      <c r="E538" s="3"/>
      <c r="F538" s="3"/>
      <c r="G538" s="3"/>
      <c r="H538" s="3"/>
      <c r="I538" s="3"/>
      <c r="J538" s="3"/>
      <c r="K538" s="3"/>
      <c r="L538" s="3"/>
    </row>
    <row x14ac:dyDescent="0.25" r="539" customHeight="1" ht="18.75">
      <c r="A539" s="17"/>
      <c r="B539" s="17"/>
      <c r="C539" s="3"/>
      <c r="D539" s="3"/>
      <c r="E539" s="3"/>
      <c r="F539" s="3"/>
      <c r="G539" s="3"/>
      <c r="H539" s="3"/>
      <c r="I539" s="3"/>
      <c r="J539" s="3"/>
      <c r="K539" s="3"/>
      <c r="L539" s="3"/>
    </row>
    <row x14ac:dyDescent="0.25" r="540" customHeight="1" ht="18.75">
      <c r="A540" s="17"/>
      <c r="B540" s="17"/>
      <c r="C540" s="3"/>
      <c r="D540" s="3"/>
      <c r="E540" s="3"/>
      <c r="F540" s="3"/>
      <c r="G540" s="3"/>
      <c r="H540" s="3"/>
      <c r="I540" s="3"/>
      <c r="J540" s="3"/>
      <c r="K540" s="3"/>
      <c r="L540" s="3"/>
    </row>
    <row x14ac:dyDescent="0.25" r="541" customHeight="1" ht="18.75">
      <c r="A541" s="17"/>
      <c r="B541" s="17"/>
      <c r="C541" s="3"/>
      <c r="D541" s="3"/>
      <c r="E541" s="3"/>
      <c r="F541" s="3"/>
      <c r="G541" s="3"/>
      <c r="H541" s="3"/>
      <c r="I541" s="3"/>
      <c r="J541" s="3"/>
      <c r="K541" s="3"/>
      <c r="L541" s="3"/>
    </row>
    <row x14ac:dyDescent="0.25" r="542" customHeight="1" ht="18.75">
      <c r="A542" s="17"/>
      <c r="B542" s="17"/>
      <c r="C542" s="3"/>
      <c r="D542" s="3"/>
      <c r="E542" s="3"/>
      <c r="F542" s="3"/>
      <c r="G542" s="3"/>
      <c r="H542" s="3"/>
      <c r="I542" s="3"/>
      <c r="J542" s="3"/>
      <c r="K542" s="3"/>
      <c r="L542" s="3"/>
    </row>
    <row x14ac:dyDescent="0.25" r="543" customHeight="1" ht="18.75">
      <c r="A543" s="17"/>
      <c r="B543" s="17"/>
      <c r="C543" s="3"/>
      <c r="D543" s="3"/>
      <c r="E543" s="3"/>
      <c r="F543" s="3"/>
      <c r="G543" s="3"/>
      <c r="H543" s="3"/>
      <c r="I543" s="3"/>
      <c r="J543" s="3"/>
      <c r="K543" s="3"/>
      <c r="L543" s="3"/>
    </row>
    <row x14ac:dyDescent="0.25" r="544" customHeight="1" ht="18.75">
      <c r="A544" s="17"/>
      <c r="B544" s="17"/>
      <c r="C544" s="3"/>
      <c r="D544" s="3"/>
      <c r="E544" s="3"/>
      <c r="F544" s="3"/>
      <c r="G544" s="3"/>
      <c r="H544" s="3"/>
      <c r="I544" s="3"/>
      <c r="J544" s="3"/>
      <c r="K544" s="3"/>
      <c r="L544" s="3"/>
    </row>
    <row x14ac:dyDescent="0.25" r="545" customHeight="1" ht="18.75">
      <c r="A545" s="17"/>
      <c r="B545" s="17"/>
      <c r="C545" s="3"/>
      <c r="D545" s="3"/>
      <c r="E545" s="3"/>
      <c r="F545" s="3"/>
      <c r="G545" s="3"/>
      <c r="H545" s="3"/>
      <c r="I545" s="3"/>
      <c r="J545" s="3"/>
      <c r="K545" s="3"/>
      <c r="L545" s="3"/>
    </row>
    <row x14ac:dyDescent="0.25" r="546" customHeight="1" ht="18.75">
      <c r="A546" s="17"/>
      <c r="B546" s="17"/>
      <c r="C546" s="3"/>
      <c r="D546" s="3"/>
      <c r="E546" s="3"/>
      <c r="F546" s="3"/>
      <c r="G546" s="3"/>
      <c r="H546" s="3"/>
      <c r="I546" s="3"/>
      <c r="J546" s="3"/>
      <c r="K546" s="3"/>
      <c r="L546" s="3"/>
    </row>
    <row x14ac:dyDescent="0.25" r="547" customHeight="1" ht="18.75">
      <c r="A547" s="17"/>
      <c r="B547" s="17"/>
      <c r="C547" s="3"/>
      <c r="D547" s="3"/>
      <c r="E547" s="3"/>
      <c r="F547" s="3"/>
      <c r="G547" s="3"/>
      <c r="H547" s="3"/>
      <c r="I547" s="3"/>
      <c r="J547" s="3"/>
      <c r="K547" s="3"/>
      <c r="L547" s="3"/>
    </row>
    <row x14ac:dyDescent="0.25" r="548" customHeight="1" ht="18.75">
      <c r="A548" s="17"/>
      <c r="B548" s="17"/>
      <c r="C548" s="3"/>
      <c r="D548" s="3"/>
      <c r="E548" s="3"/>
      <c r="F548" s="3"/>
      <c r="G548" s="3"/>
      <c r="H548" s="3"/>
      <c r="I548" s="3"/>
      <c r="J548" s="3"/>
      <c r="K548" s="3"/>
      <c r="L548" s="3"/>
    </row>
    <row x14ac:dyDescent="0.25" r="549" customHeight="1" ht="18.75">
      <c r="A549" s="17"/>
      <c r="B549" s="17"/>
      <c r="C549" s="3"/>
      <c r="D549" s="3"/>
      <c r="E549" s="3"/>
      <c r="F549" s="3"/>
      <c r="G549" s="3"/>
      <c r="H549" s="3"/>
      <c r="I549" s="3"/>
      <c r="J549" s="3"/>
      <c r="K549" s="3"/>
      <c r="L549" s="3"/>
    </row>
    <row x14ac:dyDescent="0.25" r="550" customHeight="1" ht="18.75">
      <c r="A550" s="17"/>
      <c r="B550" s="17"/>
      <c r="C550" s="3"/>
      <c r="D550" s="3"/>
      <c r="E550" s="3"/>
      <c r="F550" s="3"/>
      <c r="G550" s="3"/>
      <c r="H550" s="3"/>
      <c r="I550" s="3"/>
      <c r="J550" s="3"/>
      <c r="K550" s="3"/>
      <c r="L550" s="3"/>
    </row>
    <row x14ac:dyDescent="0.25" r="551" customHeight="1" ht="18.75">
      <c r="A551" s="17"/>
      <c r="B551" s="17"/>
      <c r="C551" s="3"/>
      <c r="D551" s="3"/>
      <c r="E551" s="3"/>
      <c r="F551" s="3"/>
      <c r="G551" s="3"/>
      <c r="H551" s="3"/>
      <c r="I551" s="3"/>
      <c r="J551" s="3"/>
      <c r="K551" s="3"/>
      <c r="L551" s="3"/>
    </row>
    <row x14ac:dyDescent="0.25" r="552" customHeight="1" ht="18.75">
      <c r="A552" s="17"/>
      <c r="B552" s="17"/>
      <c r="C552" s="3"/>
      <c r="D552" s="3"/>
      <c r="E552" s="3"/>
      <c r="F552" s="3"/>
      <c r="G552" s="3"/>
      <c r="H552" s="3"/>
      <c r="I552" s="3"/>
      <c r="J552" s="3"/>
      <c r="K552" s="3"/>
      <c r="L552" s="3"/>
    </row>
    <row x14ac:dyDescent="0.25" r="553" customHeight="1" ht="18.75">
      <c r="A553" s="17"/>
      <c r="B553" s="17"/>
      <c r="C553" s="3"/>
      <c r="D553" s="3"/>
      <c r="E553" s="3"/>
      <c r="F553" s="3"/>
      <c r="G553" s="3"/>
      <c r="H553" s="3"/>
      <c r="I553" s="3"/>
      <c r="J553" s="3"/>
      <c r="K553" s="3"/>
      <c r="L553" s="3"/>
    </row>
    <row x14ac:dyDescent="0.25" r="554" customHeight="1" ht="18.75">
      <c r="A554" s="17"/>
      <c r="B554" s="17"/>
      <c r="C554" s="3"/>
      <c r="D554" s="3"/>
      <c r="E554" s="3"/>
      <c r="F554" s="3"/>
      <c r="G554" s="3"/>
      <c r="H554" s="3"/>
      <c r="I554" s="3"/>
      <c r="J554" s="3"/>
      <c r="K554" s="3"/>
      <c r="L554" s="3"/>
    </row>
    <row x14ac:dyDescent="0.25" r="555" customHeight="1" ht="18.75">
      <c r="A555" s="17"/>
      <c r="B555" s="17"/>
      <c r="C555" s="3"/>
      <c r="D555" s="3"/>
      <c r="E555" s="3"/>
      <c r="F555" s="3"/>
      <c r="G555" s="3"/>
      <c r="H555" s="3"/>
      <c r="I555" s="3"/>
      <c r="J555" s="3"/>
      <c r="K555" s="3"/>
      <c r="L555" s="3"/>
    </row>
    <row x14ac:dyDescent="0.25" r="556" customHeight="1" ht="18.75">
      <c r="A556" s="17"/>
      <c r="B556" s="17"/>
      <c r="C556" s="3"/>
      <c r="D556" s="3"/>
      <c r="E556" s="3"/>
      <c r="F556" s="3"/>
      <c r="G556" s="3"/>
      <c r="H556" s="3"/>
      <c r="I556" s="3"/>
      <c r="J556" s="3"/>
      <c r="K556" s="3"/>
      <c r="L556" s="3"/>
    </row>
    <row x14ac:dyDescent="0.25" r="557" customHeight="1" ht="18.75">
      <c r="A557" s="17"/>
      <c r="B557" s="17"/>
      <c r="C557" s="3"/>
      <c r="D557" s="3"/>
      <c r="E557" s="3"/>
      <c r="F557" s="3"/>
      <c r="G557" s="3"/>
      <c r="H557" s="3"/>
      <c r="I557" s="3"/>
      <c r="J557" s="3"/>
      <c r="K557" s="3"/>
      <c r="L557" s="3"/>
    </row>
    <row x14ac:dyDescent="0.25" r="558" customHeight="1" ht="18.75">
      <c r="A558" s="17"/>
      <c r="B558" s="17"/>
      <c r="C558" s="3"/>
      <c r="D558" s="3"/>
      <c r="E558" s="3"/>
      <c r="F558" s="3"/>
      <c r="G558" s="3"/>
      <c r="H558" s="3"/>
      <c r="I558" s="3"/>
      <c r="J558" s="3"/>
      <c r="K558" s="3"/>
      <c r="L558" s="3"/>
    </row>
    <row x14ac:dyDescent="0.25" r="559" customHeight="1" ht="18.75">
      <c r="A559" s="17"/>
      <c r="B559" s="17"/>
      <c r="C559" s="3"/>
      <c r="D559" s="3"/>
      <c r="E559" s="3"/>
      <c r="F559" s="3"/>
      <c r="G559" s="3"/>
      <c r="H559" s="3"/>
      <c r="I559" s="3"/>
      <c r="J559" s="3"/>
      <c r="K559" s="3"/>
      <c r="L559" s="3"/>
    </row>
    <row x14ac:dyDescent="0.25" r="560" customHeight="1" ht="18.75">
      <c r="A560" s="17"/>
      <c r="B560" s="17"/>
      <c r="C560" s="3"/>
      <c r="D560" s="3"/>
      <c r="E560" s="3"/>
      <c r="F560" s="3"/>
      <c r="G560" s="3"/>
      <c r="H560" s="3"/>
      <c r="I560" s="3"/>
      <c r="J560" s="3"/>
      <c r="K560" s="3"/>
      <c r="L560" s="3"/>
    </row>
    <row x14ac:dyDescent="0.25" r="561" customHeight="1" ht="18.75">
      <c r="A561" s="17"/>
      <c r="B561" s="17"/>
      <c r="C561" s="3"/>
      <c r="D561" s="3"/>
      <c r="E561" s="3"/>
      <c r="F561" s="3"/>
      <c r="G561" s="3"/>
      <c r="H561" s="3"/>
      <c r="I561" s="3"/>
      <c r="J561" s="3"/>
      <c r="K561" s="3"/>
      <c r="L561" s="3"/>
    </row>
    <row x14ac:dyDescent="0.25" r="562" customHeight="1" ht="18.75">
      <c r="A562" s="17"/>
      <c r="B562" s="17"/>
      <c r="C562" s="3"/>
      <c r="D562" s="3"/>
      <c r="E562" s="3"/>
      <c r="F562" s="3"/>
      <c r="G562" s="3"/>
      <c r="H562" s="3"/>
      <c r="I562" s="3"/>
      <c r="J562" s="3"/>
      <c r="K562" s="3"/>
      <c r="L562" s="3"/>
    </row>
    <row x14ac:dyDescent="0.25" r="563" customHeight="1" ht="18.75">
      <c r="A563" s="17"/>
      <c r="B563" s="17"/>
      <c r="C563" s="3"/>
      <c r="D563" s="3"/>
      <c r="E563" s="3"/>
      <c r="F563" s="3"/>
      <c r="G563" s="3"/>
      <c r="H563" s="3"/>
      <c r="I563" s="3"/>
      <c r="J563" s="3"/>
      <c r="K563" s="3"/>
      <c r="L563" s="3"/>
    </row>
    <row x14ac:dyDescent="0.25" r="564" customHeight="1" ht="18.75">
      <c r="A564" s="17"/>
      <c r="B564" s="17"/>
      <c r="C564" s="3"/>
      <c r="D564" s="3"/>
      <c r="E564" s="3"/>
      <c r="F564" s="3"/>
      <c r="G564" s="3"/>
      <c r="H564" s="3"/>
      <c r="I564" s="3"/>
      <c r="J564" s="3"/>
      <c r="K564" s="3"/>
      <c r="L564" s="3"/>
    </row>
    <row x14ac:dyDescent="0.25" r="565" customHeight="1" ht="18.75">
      <c r="A565" s="17"/>
      <c r="B565" s="17"/>
      <c r="C565" s="3"/>
      <c r="D565" s="3"/>
      <c r="E565" s="3"/>
      <c r="F565" s="3"/>
      <c r="G565" s="3"/>
      <c r="H565" s="3"/>
      <c r="I565" s="3"/>
      <c r="J565" s="3"/>
      <c r="K565" s="3"/>
      <c r="L565" s="3"/>
    </row>
    <row x14ac:dyDescent="0.25" r="566" customHeight="1" ht="18.75">
      <c r="A566" s="17"/>
      <c r="B566" s="17"/>
      <c r="C566" s="3"/>
      <c r="D566" s="3"/>
      <c r="E566" s="3"/>
      <c r="F566" s="3"/>
      <c r="G566" s="3"/>
      <c r="H566" s="3"/>
      <c r="I566" s="3"/>
      <c r="J566" s="3"/>
      <c r="K566" s="3"/>
      <c r="L566" s="3"/>
    </row>
    <row x14ac:dyDescent="0.25" r="567" customHeight="1" ht="18.75">
      <c r="A567" s="17"/>
      <c r="B567" s="17"/>
      <c r="C567" s="3"/>
      <c r="D567" s="3"/>
      <c r="E567" s="3"/>
      <c r="F567" s="3"/>
      <c r="G567" s="3"/>
      <c r="H567" s="3"/>
      <c r="I567" s="3"/>
      <c r="J567" s="3"/>
      <c r="K567" s="3"/>
      <c r="L567" s="3"/>
    </row>
    <row x14ac:dyDescent="0.25" r="568" customHeight="1" ht="18.75">
      <c r="A568" s="17"/>
      <c r="B568" s="17"/>
      <c r="C568" s="3"/>
      <c r="D568" s="3"/>
      <c r="E568" s="3"/>
      <c r="F568" s="3"/>
      <c r="G568" s="3"/>
      <c r="H568" s="3"/>
      <c r="I568" s="3"/>
      <c r="J568" s="3"/>
      <c r="K568" s="3"/>
      <c r="L568" s="3"/>
    </row>
    <row x14ac:dyDescent="0.25" r="569" customHeight="1" ht="18.75">
      <c r="A569" s="17"/>
      <c r="B569" s="17"/>
      <c r="C569" s="3"/>
      <c r="D569" s="3"/>
      <c r="E569" s="3"/>
      <c r="F569" s="3"/>
      <c r="G569" s="3"/>
      <c r="H569" s="3"/>
      <c r="I569" s="3"/>
      <c r="J569" s="3"/>
      <c r="K569" s="3"/>
      <c r="L569" s="3"/>
    </row>
    <row x14ac:dyDescent="0.25" r="570" customHeight="1" ht="18.75">
      <c r="A570" s="17"/>
      <c r="B570" s="17"/>
      <c r="C570" s="3"/>
      <c r="D570" s="3"/>
      <c r="E570" s="3"/>
      <c r="F570" s="3"/>
      <c r="G570" s="3"/>
      <c r="H570" s="3"/>
      <c r="I570" s="3"/>
      <c r="J570" s="3"/>
      <c r="K570" s="3"/>
      <c r="L570" s="3"/>
    </row>
    <row x14ac:dyDescent="0.25" r="571" customHeight="1" ht="18.75">
      <c r="A571" s="17"/>
      <c r="B571" s="17"/>
      <c r="C571" s="3"/>
      <c r="D571" s="3"/>
      <c r="E571" s="3"/>
      <c r="F571" s="3"/>
      <c r="G571" s="3"/>
      <c r="H571" s="3"/>
      <c r="I571" s="3"/>
      <c r="J571" s="3"/>
      <c r="K571" s="3"/>
      <c r="L571" s="3"/>
    </row>
    <row x14ac:dyDescent="0.25" r="572" customHeight="1" ht="18.75">
      <c r="A572" s="17"/>
      <c r="B572" s="17"/>
      <c r="C572" s="3"/>
      <c r="D572" s="3"/>
      <c r="E572" s="3"/>
      <c r="F572" s="3"/>
      <c r="G572" s="3"/>
      <c r="H572" s="3"/>
      <c r="I572" s="3"/>
      <c r="J572" s="3"/>
      <c r="K572" s="3"/>
      <c r="L572" s="3"/>
    </row>
    <row x14ac:dyDescent="0.25" r="573" customHeight="1" ht="18.75">
      <c r="A573" s="17"/>
      <c r="B573" s="17"/>
      <c r="C573" s="3"/>
      <c r="D573" s="3"/>
      <c r="E573" s="3"/>
      <c r="F573" s="3"/>
      <c r="G573" s="3"/>
      <c r="H573" s="3"/>
      <c r="I573" s="3"/>
      <c r="J573" s="3"/>
      <c r="K573" s="3"/>
      <c r="L573" s="3"/>
    </row>
    <row x14ac:dyDescent="0.25" r="574" customHeight="1" ht="18.75">
      <c r="A574" s="17"/>
      <c r="B574" s="17"/>
      <c r="C574" s="3"/>
      <c r="D574" s="3"/>
      <c r="E574" s="3"/>
      <c r="F574" s="3"/>
      <c r="G574" s="3"/>
      <c r="H574" s="3"/>
      <c r="I574" s="3"/>
      <c r="J574" s="3"/>
      <c r="K574" s="3"/>
      <c r="L574" s="3"/>
    </row>
    <row x14ac:dyDescent="0.25" r="575" customHeight="1" ht="18.75">
      <c r="A575" s="17"/>
      <c r="B575" s="17"/>
      <c r="C575" s="3"/>
      <c r="D575" s="3"/>
      <c r="E575" s="3"/>
      <c r="F575" s="3"/>
      <c r="G575" s="3"/>
      <c r="H575" s="3"/>
      <c r="I575" s="3"/>
      <c r="J575" s="3"/>
      <c r="K575" s="3"/>
      <c r="L575" s="3"/>
    </row>
    <row x14ac:dyDescent="0.25" r="576" customHeight="1" ht="18.75">
      <c r="A576" s="17"/>
      <c r="B576" s="17"/>
      <c r="C576" s="3"/>
      <c r="D576" s="3"/>
      <c r="E576" s="3"/>
      <c r="F576" s="3"/>
      <c r="G576" s="3"/>
      <c r="H576" s="3"/>
      <c r="I576" s="3"/>
      <c r="J576" s="3"/>
      <c r="K576" s="3"/>
      <c r="L576" s="3"/>
    </row>
    <row x14ac:dyDescent="0.25" r="577" customHeight="1" ht="18.75">
      <c r="A577" s="17"/>
      <c r="B577" s="17"/>
      <c r="C577" s="3"/>
      <c r="D577" s="3"/>
      <c r="E577" s="3"/>
      <c r="F577" s="3"/>
      <c r="G577" s="3"/>
      <c r="H577" s="3"/>
      <c r="I577" s="3"/>
      <c r="J577" s="3"/>
      <c r="K577" s="3"/>
      <c r="L577" s="3"/>
    </row>
    <row x14ac:dyDescent="0.25" r="578" customHeight="1" ht="18.75">
      <c r="A578" s="17"/>
      <c r="B578" s="17"/>
      <c r="C578" s="3"/>
      <c r="D578" s="3"/>
      <c r="E578" s="3"/>
      <c r="F578" s="3"/>
      <c r="G578" s="3"/>
      <c r="H578" s="3"/>
      <c r="I578" s="3"/>
      <c r="J578" s="3"/>
      <c r="K578" s="3"/>
      <c r="L578" s="3"/>
    </row>
    <row x14ac:dyDescent="0.25" r="579" customHeight="1" ht="18.75">
      <c r="A579" s="17"/>
      <c r="B579" s="17"/>
      <c r="C579" s="3"/>
      <c r="D579" s="3"/>
      <c r="E579" s="3"/>
      <c r="F579" s="3"/>
      <c r="G579" s="3"/>
      <c r="H579" s="3"/>
      <c r="I579" s="3"/>
      <c r="J579" s="3"/>
      <c r="K579" s="3"/>
      <c r="L579" s="3"/>
    </row>
    <row x14ac:dyDescent="0.25" r="580" customHeight="1" ht="18.75">
      <c r="A580" s="17"/>
      <c r="B580" s="17"/>
      <c r="C580" s="3"/>
      <c r="D580" s="3"/>
      <c r="E580" s="3"/>
      <c r="F580" s="3"/>
      <c r="G580" s="3"/>
      <c r="H580" s="3"/>
      <c r="I580" s="3"/>
      <c r="J580" s="3"/>
      <c r="K580" s="3"/>
      <c r="L580" s="3"/>
    </row>
    <row x14ac:dyDescent="0.25" r="581" customHeight="1" ht="18.75">
      <c r="A581" s="17"/>
      <c r="B581" s="17"/>
      <c r="C581" s="3"/>
      <c r="D581" s="3"/>
      <c r="E581" s="3"/>
      <c r="F581" s="3"/>
      <c r="G581" s="3"/>
      <c r="H581" s="3"/>
      <c r="I581" s="3"/>
      <c r="J581" s="3"/>
      <c r="K581" s="3"/>
      <c r="L581" s="3"/>
    </row>
    <row x14ac:dyDescent="0.25" r="582" customHeight="1" ht="18.75">
      <c r="A582" s="17"/>
      <c r="B582" s="17"/>
      <c r="C582" s="3"/>
      <c r="D582" s="3"/>
      <c r="E582" s="3"/>
      <c r="F582" s="3"/>
      <c r="G582" s="3"/>
      <c r="H582" s="3"/>
      <c r="I582" s="3"/>
      <c r="J582" s="3"/>
      <c r="K582" s="3"/>
      <c r="L582" s="3"/>
    </row>
    <row x14ac:dyDescent="0.25" r="583" customHeight="1" ht="18.75">
      <c r="A583" s="17"/>
      <c r="B583" s="17"/>
      <c r="C583" s="3"/>
      <c r="D583" s="3"/>
      <c r="E583" s="3"/>
      <c r="F583" s="3"/>
      <c r="G583" s="3"/>
      <c r="H583" s="3"/>
      <c r="I583" s="3"/>
      <c r="J583" s="3"/>
      <c r="K583" s="3"/>
      <c r="L583" s="3"/>
    </row>
    <row x14ac:dyDescent="0.25" r="584" customHeight="1" ht="18.75">
      <c r="A584" s="17"/>
      <c r="B584" s="17"/>
      <c r="C584" s="3"/>
      <c r="D584" s="3"/>
      <c r="E584" s="3"/>
      <c r="F584" s="3"/>
      <c r="G584" s="3"/>
      <c r="H584" s="3"/>
      <c r="I584" s="3"/>
      <c r="J584" s="3"/>
      <c r="K584" s="3"/>
      <c r="L584" s="3"/>
    </row>
    <row x14ac:dyDescent="0.25" r="585" customHeight="1" ht="18.75">
      <c r="A585" s="17"/>
      <c r="B585" s="17"/>
      <c r="C585" s="3"/>
      <c r="D585" s="3"/>
      <c r="E585" s="3"/>
      <c r="F585" s="3"/>
      <c r="G585" s="3"/>
      <c r="H585" s="3"/>
      <c r="I585" s="3"/>
      <c r="J585" s="3"/>
      <c r="K585" s="3"/>
      <c r="L585" s="3"/>
    </row>
    <row x14ac:dyDescent="0.25" r="586" customHeight="1" ht="18.75">
      <c r="A586" s="17"/>
      <c r="B586" s="17"/>
      <c r="C586" s="3"/>
      <c r="D586" s="3"/>
      <c r="E586" s="3"/>
      <c r="F586" s="3"/>
      <c r="G586" s="3"/>
      <c r="H586" s="3"/>
      <c r="I586" s="3"/>
      <c r="J586" s="3"/>
      <c r="K586" s="3"/>
      <c r="L586" s="3"/>
    </row>
    <row x14ac:dyDescent="0.25" r="587" customHeight="1" ht="18.75">
      <c r="A587" s="17"/>
      <c r="B587" s="17"/>
      <c r="C587" s="3"/>
      <c r="D587" s="3"/>
      <c r="E587" s="3"/>
      <c r="F587" s="3"/>
      <c r="G587" s="3"/>
      <c r="H587" s="3"/>
      <c r="I587" s="3"/>
      <c r="J587" s="3"/>
      <c r="K587" s="3"/>
      <c r="L587" s="3"/>
    </row>
    <row x14ac:dyDescent="0.25" r="588" customHeight="1" ht="18.75">
      <c r="A588" s="17"/>
      <c r="B588" s="17"/>
      <c r="C588" s="3"/>
      <c r="D588" s="3"/>
      <c r="E588" s="3"/>
      <c r="F588" s="3"/>
      <c r="G588" s="3"/>
      <c r="H588" s="3"/>
      <c r="I588" s="3"/>
      <c r="J588" s="3"/>
      <c r="K588" s="3"/>
      <c r="L588" s="3"/>
    </row>
    <row x14ac:dyDescent="0.25" r="589" customHeight="1" ht="18.75">
      <c r="A589" s="17"/>
      <c r="B589" s="17"/>
      <c r="C589" s="3"/>
      <c r="D589" s="3"/>
      <c r="E589" s="3"/>
      <c r="F589" s="3"/>
      <c r="G589" s="3"/>
      <c r="H589" s="3"/>
      <c r="I589" s="3"/>
      <c r="J589" s="3"/>
      <c r="K589" s="3"/>
      <c r="L589" s="3"/>
    </row>
    <row x14ac:dyDescent="0.25" r="590" customHeight="1" ht="18.75">
      <c r="A590" s="17"/>
      <c r="B590" s="17"/>
      <c r="C590" s="3"/>
      <c r="D590" s="3"/>
      <c r="E590" s="3"/>
      <c r="F590" s="3"/>
      <c r="G590" s="3"/>
      <c r="H590" s="3"/>
      <c r="I590" s="3"/>
      <c r="J590" s="3"/>
      <c r="K590" s="3"/>
      <c r="L590" s="3"/>
    </row>
    <row x14ac:dyDescent="0.25" r="591" customHeight="1" ht="18.75">
      <c r="A591" s="17"/>
      <c r="B591" s="17"/>
      <c r="C591" s="3"/>
      <c r="D591" s="3"/>
      <c r="E591" s="3"/>
      <c r="F591" s="3"/>
      <c r="G591" s="3"/>
      <c r="H591" s="3"/>
      <c r="I591" s="3"/>
      <c r="J591" s="3"/>
      <c r="K591" s="3"/>
      <c r="L591" s="3"/>
    </row>
    <row x14ac:dyDescent="0.25" r="592" customHeight="1" ht="18.75">
      <c r="A592" s="17"/>
      <c r="B592" s="17"/>
      <c r="C592" s="3"/>
      <c r="D592" s="3"/>
      <c r="E592" s="3"/>
      <c r="F592" s="3"/>
      <c r="G592" s="3"/>
      <c r="H592" s="3"/>
      <c r="I592" s="3"/>
      <c r="J592" s="3"/>
      <c r="K592" s="3"/>
      <c r="L592" s="3"/>
    </row>
    <row x14ac:dyDescent="0.25" r="593" customHeight="1" ht="18.75">
      <c r="A593" s="17"/>
      <c r="B593" s="17"/>
      <c r="C593" s="3"/>
      <c r="D593" s="3"/>
      <c r="E593" s="3"/>
      <c r="F593" s="3"/>
      <c r="G593" s="3"/>
      <c r="H593" s="3"/>
      <c r="I593" s="3"/>
      <c r="J593" s="3"/>
      <c r="K593" s="3"/>
      <c r="L593" s="3"/>
    </row>
    <row x14ac:dyDescent="0.25" r="594" customHeight="1" ht="18.75">
      <c r="A594" s="17"/>
      <c r="B594" s="17"/>
      <c r="C594" s="3"/>
      <c r="D594" s="3"/>
      <c r="E594" s="3"/>
      <c r="F594" s="3"/>
      <c r="G594" s="3"/>
      <c r="H594" s="3"/>
      <c r="I594" s="3"/>
      <c r="J594" s="3"/>
      <c r="K594" s="3"/>
      <c r="L594" s="3"/>
    </row>
    <row x14ac:dyDescent="0.25" r="595" customHeight="1" ht="18.75">
      <c r="A595" s="17"/>
      <c r="B595" s="17"/>
      <c r="C595" s="3"/>
      <c r="D595" s="3"/>
      <c r="E595" s="3"/>
      <c r="F595" s="3"/>
      <c r="G595" s="3"/>
      <c r="H595" s="3"/>
      <c r="I595" s="3"/>
      <c r="J595" s="3"/>
      <c r="K595" s="3"/>
      <c r="L595" s="3"/>
    </row>
    <row x14ac:dyDescent="0.25" r="596" customHeight="1" ht="18.75">
      <c r="A596" s="17"/>
      <c r="B596" s="17"/>
      <c r="C596" s="3"/>
      <c r="D596" s="3"/>
      <c r="E596" s="3"/>
      <c r="F596" s="3"/>
      <c r="G596" s="3"/>
      <c r="H596" s="3"/>
      <c r="I596" s="3"/>
      <c r="J596" s="3"/>
      <c r="K596" s="3"/>
      <c r="L596" s="3"/>
    </row>
    <row x14ac:dyDescent="0.25" r="597" customHeight="1" ht="18.75">
      <c r="A597" s="17"/>
      <c r="B597" s="17"/>
      <c r="C597" s="3"/>
      <c r="D597" s="3"/>
      <c r="E597" s="3"/>
      <c r="F597" s="3"/>
      <c r="G597" s="3"/>
      <c r="H597" s="3"/>
      <c r="I597" s="3"/>
      <c r="J597" s="3"/>
      <c r="K597" s="3"/>
      <c r="L597" s="3"/>
    </row>
    <row x14ac:dyDescent="0.25" r="598" customHeight="1" ht="18.75">
      <c r="A598" s="17"/>
      <c r="B598" s="17"/>
      <c r="C598" s="3"/>
      <c r="D598" s="3"/>
      <c r="E598" s="3"/>
      <c r="F598" s="3"/>
      <c r="G598" s="3"/>
      <c r="H598" s="3"/>
      <c r="I598" s="3"/>
      <c r="J598" s="3"/>
      <c r="K598" s="3"/>
      <c r="L598" s="3"/>
    </row>
    <row x14ac:dyDescent="0.25" r="599" customHeight="1" ht="18.75">
      <c r="A599" s="17"/>
      <c r="B599" s="17"/>
      <c r="C599" s="3"/>
      <c r="D599" s="3"/>
      <c r="E599" s="3"/>
      <c r="F599" s="3"/>
      <c r="G599" s="3"/>
      <c r="H599" s="3"/>
      <c r="I599" s="3"/>
      <c r="J599" s="3"/>
      <c r="K599" s="3"/>
      <c r="L599" s="3"/>
    </row>
    <row x14ac:dyDescent="0.25" r="600" customHeight="1" ht="18.75">
      <c r="A600" s="17"/>
      <c r="B600" s="17"/>
      <c r="C600" s="3"/>
      <c r="D600" s="3"/>
      <c r="E600" s="3"/>
      <c r="F600" s="3"/>
      <c r="G600" s="3"/>
      <c r="H600" s="3"/>
      <c r="I600" s="3"/>
      <c r="J600" s="3"/>
      <c r="K600" s="3"/>
      <c r="L600" s="3"/>
    </row>
    <row x14ac:dyDescent="0.25" r="601" customHeight="1" ht="18.75">
      <c r="A601" s="17"/>
      <c r="B601" s="17"/>
      <c r="C601" s="3"/>
      <c r="D601" s="3"/>
      <c r="E601" s="3"/>
      <c r="F601" s="3"/>
      <c r="G601" s="3"/>
      <c r="H601" s="3"/>
      <c r="I601" s="3"/>
      <c r="J601" s="3"/>
      <c r="K601" s="3"/>
      <c r="L601" s="3"/>
    </row>
    <row x14ac:dyDescent="0.25" r="602" customHeight="1" ht="18.75">
      <c r="A602" s="17"/>
      <c r="B602" s="17"/>
      <c r="C602" s="3"/>
      <c r="D602" s="3"/>
      <c r="E602" s="3"/>
      <c r="F602" s="3"/>
      <c r="G602" s="3"/>
      <c r="H602" s="3"/>
      <c r="I602" s="3"/>
      <c r="J602" s="3"/>
      <c r="K602" s="3"/>
      <c r="L602" s="3"/>
    </row>
    <row x14ac:dyDescent="0.25" r="603" customHeight="1" ht="18.75">
      <c r="A603" s="17"/>
      <c r="B603" s="17"/>
      <c r="C603" s="3"/>
      <c r="D603" s="3"/>
      <c r="E603" s="3"/>
      <c r="F603" s="3"/>
      <c r="G603" s="3"/>
      <c r="H603" s="3"/>
      <c r="I603" s="3"/>
      <c r="J603" s="3"/>
      <c r="K603" s="3"/>
      <c r="L603" s="3"/>
    </row>
    <row x14ac:dyDescent="0.25" r="604" customHeight="1" ht="18.75">
      <c r="A604" s="17"/>
      <c r="B604" s="17"/>
      <c r="C604" s="3"/>
      <c r="D604" s="3"/>
      <c r="E604" s="3"/>
      <c r="F604" s="3"/>
      <c r="G604" s="3"/>
      <c r="H604" s="3"/>
      <c r="I604" s="3"/>
      <c r="J604" s="3"/>
      <c r="K604" s="3"/>
      <c r="L604" s="3"/>
    </row>
    <row x14ac:dyDescent="0.25" r="605" customHeight="1" ht="18.75">
      <c r="A605" s="17"/>
      <c r="B605" s="17"/>
      <c r="C605" s="3"/>
      <c r="D605" s="3"/>
      <c r="E605" s="3"/>
      <c r="F605" s="3"/>
      <c r="G605" s="3"/>
      <c r="H605" s="3"/>
      <c r="I605" s="3"/>
      <c r="J605" s="3"/>
      <c r="K605" s="3"/>
      <c r="L605" s="3"/>
    </row>
    <row x14ac:dyDescent="0.25" r="606" customHeight="1" ht="18.75">
      <c r="A606" s="17"/>
      <c r="B606" s="17"/>
      <c r="C606" s="3"/>
      <c r="D606" s="3"/>
      <c r="E606" s="3"/>
      <c r="F606" s="3"/>
      <c r="G606" s="3"/>
      <c r="H606" s="3"/>
      <c r="I606" s="3"/>
      <c r="J606" s="3"/>
      <c r="K606" s="3"/>
      <c r="L606" s="3"/>
    </row>
    <row x14ac:dyDescent="0.25" r="607" customHeight="1" ht="18.75">
      <c r="A607" s="17"/>
      <c r="B607" s="17"/>
      <c r="C607" s="3"/>
      <c r="D607" s="3"/>
      <c r="E607" s="3"/>
      <c r="F607" s="3"/>
      <c r="G607" s="3"/>
      <c r="H607" s="3"/>
      <c r="I607" s="3"/>
      <c r="J607" s="3"/>
      <c r="K607" s="3"/>
      <c r="L607" s="3"/>
    </row>
    <row x14ac:dyDescent="0.25" r="608" customHeight="1" ht="18.75">
      <c r="A608" s="17"/>
      <c r="B608" s="17"/>
      <c r="C608" s="3"/>
      <c r="D608" s="3"/>
      <c r="E608" s="3"/>
      <c r="F608" s="3"/>
      <c r="G608" s="3"/>
      <c r="H608" s="3"/>
      <c r="I608" s="3"/>
      <c r="J608" s="3"/>
      <c r="K608" s="3"/>
      <c r="L608" s="3"/>
    </row>
    <row x14ac:dyDescent="0.25" r="609" customHeight="1" ht="18.75">
      <c r="A609" s="17"/>
      <c r="B609" s="17"/>
      <c r="C609" s="3"/>
      <c r="D609" s="3"/>
      <c r="E609" s="3"/>
      <c r="F609" s="3"/>
      <c r="G609" s="3"/>
      <c r="H609" s="3"/>
      <c r="I609" s="3"/>
      <c r="J609" s="3"/>
      <c r="K609" s="3"/>
      <c r="L609" s="3"/>
    </row>
    <row x14ac:dyDescent="0.25" r="610" customHeight="1" ht="18.75">
      <c r="A610" s="17"/>
      <c r="B610" s="17"/>
      <c r="C610" s="3"/>
      <c r="D610" s="3"/>
      <c r="E610" s="3"/>
      <c r="F610" s="3"/>
      <c r="G610" s="3"/>
      <c r="H610" s="3"/>
      <c r="I610" s="3"/>
      <c r="J610" s="3"/>
      <c r="K610" s="3"/>
      <c r="L610" s="3"/>
    </row>
    <row x14ac:dyDescent="0.25" r="611" customHeight="1" ht="18.75">
      <c r="A611" s="17"/>
      <c r="B611" s="17"/>
      <c r="C611" s="3"/>
      <c r="D611" s="3"/>
      <c r="E611" s="3"/>
      <c r="F611" s="3"/>
      <c r="G611" s="3"/>
      <c r="H611" s="3"/>
      <c r="I611" s="3"/>
      <c r="J611" s="3"/>
      <c r="K611" s="3"/>
      <c r="L611" s="3"/>
    </row>
    <row x14ac:dyDescent="0.25" r="612" customHeight="1" ht="18.75">
      <c r="A612" s="17"/>
      <c r="B612" s="17"/>
      <c r="C612" s="3"/>
      <c r="D612" s="3"/>
      <c r="E612" s="3"/>
      <c r="F612" s="3"/>
      <c r="G612" s="3"/>
      <c r="H612" s="3"/>
      <c r="I612" s="3"/>
      <c r="J612" s="3"/>
      <c r="K612" s="3"/>
      <c r="L612" s="3"/>
    </row>
    <row x14ac:dyDescent="0.25" r="613" customHeight="1" ht="18.75">
      <c r="A613" s="17"/>
      <c r="B613" s="17"/>
      <c r="C613" s="3"/>
      <c r="D613" s="3"/>
      <c r="E613" s="3"/>
      <c r="F613" s="3"/>
      <c r="G613" s="3"/>
      <c r="H613" s="3"/>
      <c r="I613" s="3"/>
      <c r="J613" s="3"/>
      <c r="K613" s="3"/>
      <c r="L613" s="3"/>
    </row>
    <row x14ac:dyDescent="0.25" r="614" customHeight="1" ht="18.75">
      <c r="A614" s="17"/>
      <c r="B614" s="17"/>
      <c r="C614" s="3"/>
      <c r="D614" s="3"/>
      <c r="E614" s="3"/>
      <c r="F614" s="3"/>
      <c r="G614" s="3"/>
      <c r="H614" s="3"/>
      <c r="I614" s="3"/>
      <c r="J614" s="3"/>
      <c r="K614" s="3"/>
      <c r="L614" s="3"/>
    </row>
    <row x14ac:dyDescent="0.25" r="615" customHeight="1" ht="18.75">
      <c r="A615" s="17"/>
      <c r="B615" s="17"/>
      <c r="C615" s="3"/>
      <c r="D615" s="3"/>
      <c r="E615" s="3"/>
      <c r="F615" s="3"/>
      <c r="G615" s="3"/>
      <c r="H615" s="3"/>
      <c r="I615" s="3"/>
      <c r="J615" s="3"/>
      <c r="K615" s="3"/>
      <c r="L615" s="3"/>
    </row>
    <row x14ac:dyDescent="0.25" r="616" customHeight="1" ht="18.75">
      <c r="A616" s="17"/>
      <c r="B616" s="17"/>
      <c r="C616" s="3"/>
      <c r="D616" s="3"/>
      <c r="E616" s="3"/>
      <c r="F616" s="3"/>
      <c r="G616" s="3"/>
      <c r="H616" s="3"/>
      <c r="I616" s="3"/>
      <c r="J616" s="3"/>
      <c r="K616" s="3"/>
      <c r="L616" s="3"/>
    </row>
    <row x14ac:dyDescent="0.25" r="617" customHeight="1" ht="18.75">
      <c r="A617" s="17"/>
      <c r="B617" s="17"/>
      <c r="C617" s="3"/>
      <c r="D617" s="3"/>
      <c r="E617" s="3"/>
      <c r="F617" s="3"/>
      <c r="G617" s="3"/>
      <c r="H617" s="3"/>
      <c r="I617" s="3"/>
      <c r="J617" s="3"/>
      <c r="K617" s="3"/>
      <c r="L617" s="3"/>
    </row>
    <row x14ac:dyDescent="0.25" r="618" customHeight="1" ht="18.75">
      <c r="A618" s="17"/>
      <c r="B618" s="17"/>
      <c r="C618" s="3"/>
      <c r="D618" s="3"/>
      <c r="E618" s="3"/>
      <c r="F618" s="3"/>
      <c r="G618" s="3"/>
      <c r="H618" s="3"/>
      <c r="I618" s="3"/>
      <c r="J618" s="3"/>
      <c r="K618" s="3"/>
      <c r="L618" s="3"/>
    </row>
    <row x14ac:dyDescent="0.25" r="619" customHeight="1" ht="18.75">
      <c r="A619" s="17"/>
      <c r="B619" s="17"/>
      <c r="C619" s="3"/>
      <c r="D619" s="3"/>
      <c r="E619" s="3"/>
      <c r="F619" s="3"/>
      <c r="G619" s="3"/>
      <c r="H619" s="3"/>
      <c r="I619" s="3"/>
      <c r="J619" s="3"/>
      <c r="K619" s="3"/>
      <c r="L619" s="3"/>
    </row>
    <row x14ac:dyDescent="0.25" r="620" customHeight="1" ht="18.75">
      <c r="A620" s="17"/>
      <c r="B620" s="17"/>
      <c r="C620" s="3"/>
      <c r="D620" s="3"/>
      <c r="E620" s="3"/>
      <c r="F620" s="3"/>
      <c r="G620" s="3"/>
      <c r="H620" s="3"/>
      <c r="I620" s="3"/>
      <c r="J620" s="3"/>
      <c r="K620" s="3"/>
      <c r="L620" s="3"/>
    </row>
    <row x14ac:dyDescent="0.25" r="621" customHeight="1" ht="18.75">
      <c r="A621" s="17"/>
      <c r="B621" s="17"/>
      <c r="C621" s="3"/>
      <c r="D621" s="3"/>
      <c r="E621" s="3"/>
      <c r="F621" s="3"/>
      <c r="G621" s="3"/>
      <c r="H621" s="3"/>
      <c r="I621" s="3"/>
      <c r="J621" s="3"/>
      <c r="K621" s="3"/>
      <c r="L621" s="3"/>
    </row>
    <row x14ac:dyDescent="0.25" r="622" customHeight="1" ht="18.75">
      <c r="A622" s="17"/>
      <c r="B622" s="17"/>
      <c r="C622" s="3"/>
      <c r="D622" s="3"/>
      <c r="E622" s="3"/>
      <c r="F622" s="3"/>
      <c r="G622" s="3"/>
      <c r="H622" s="3"/>
      <c r="I622" s="3"/>
      <c r="J622" s="3"/>
      <c r="K622" s="3"/>
      <c r="L622" s="3"/>
    </row>
    <row x14ac:dyDescent="0.25" r="623" customHeight="1" ht="18.75">
      <c r="A623" s="17"/>
      <c r="B623" s="17"/>
      <c r="C623" s="3"/>
      <c r="D623" s="3"/>
      <c r="E623" s="3"/>
      <c r="F623" s="3"/>
      <c r="G623" s="3"/>
      <c r="H623" s="3"/>
      <c r="I623" s="3"/>
      <c r="J623" s="3"/>
      <c r="K623" s="3"/>
      <c r="L623" s="3"/>
    </row>
    <row x14ac:dyDescent="0.25" r="624" customHeight="1" ht="18.75">
      <c r="A624" s="17"/>
      <c r="B624" s="17"/>
      <c r="C624" s="3"/>
      <c r="D624" s="3"/>
      <c r="E624" s="3"/>
      <c r="F624" s="3"/>
      <c r="G624" s="3"/>
      <c r="H624" s="3"/>
      <c r="I624" s="3"/>
      <c r="J624" s="3"/>
      <c r="K624" s="3"/>
      <c r="L624" s="3"/>
    </row>
    <row x14ac:dyDescent="0.25" r="625" customHeight="1" ht="18.75">
      <c r="A625" s="17"/>
      <c r="B625" s="17"/>
      <c r="C625" s="3"/>
      <c r="D625" s="3"/>
      <c r="E625" s="3"/>
      <c r="F625" s="3"/>
      <c r="G625" s="3"/>
      <c r="H625" s="3"/>
      <c r="I625" s="3"/>
      <c r="J625" s="3"/>
      <c r="K625" s="3"/>
      <c r="L625" s="3"/>
    </row>
    <row x14ac:dyDescent="0.25" r="626" customHeight="1" ht="18.75">
      <c r="A626" s="17"/>
      <c r="B626" s="17"/>
      <c r="C626" s="3"/>
      <c r="D626" s="3"/>
      <c r="E626" s="3"/>
      <c r="F626" s="3"/>
      <c r="G626" s="3"/>
      <c r="H626" s="3"/>
      <c r="I626" s="3"/>
      <c r="J626" s="3"/>
      <c r="K626" s="3"/>
      <c r="L626" s="3"/>
    </row>
    <row x14ac:dyDescent="0.25" r="627" customHeight="1" ht="18.75">
      <c r="A627" s="17"/>
      <c r="B627" s="17"/>
      <c r="C627" s="3"/>
      <c r="D627" s="3"/>
      <c r="E627" s="3"/>
      <c r="F627" s="3"/>
      <c r="G627" s="3"/>
      <c r="H627" s="3"/>
      <c r="I627" s="3"/>
      <c r="J627" s="3"/>
      <c r="K627" s="3"/>
      <c r="L627" s="3"/>
    </row>
    <row x14ac:dyDescent="0.25" r="628" customHeight="1" ht="18.75">
      <c r="A628" s="17"/>
      <c r="B628" s="17"/>
      <c r="C628" s="3"/>
      <c r="D628" s="3"/>
      <c r="E628" s="3"/>
      <c r="F628" s="3"/>
      <c r="G628" s="3"/>
      <c r="H628" s="3"/>
      <c r="I628" s="3"/>
      <c r="J628" s="3"/>
      <c r="K628" s="3"/>
      <c r="L628" s="3"/>
    </row>
    <row x14ac:dyDescent="0.25" r="629" customHeight="1" ht="18.75">
      <c r="A629" s="17"/>
      <c r="B629" s="17"/>
      <c r="C629" s="3"/>
      <c r="D629" s="3"/>
      <c r="E629" s="3"/>
      <c r="F629" s="3"/>
      <c r="G629" s="3"/>
      <c r="H629" s="3"/>
      <c r="I629" s="3"/>
      <c r="J629" s="3"/>
      <c r="K629" s="3"/>
      <c r="L629" s="3"/>
    </row>
    <row x14ac:dyDescent="0.25" r="630" customHeight="1" ht="18.75">
      <c r="A630" s="17"/>
      <c r="B630" s="17"/>
      <c r="C630" s="3"/>
      <c r="D630" s="3"/>
      <c r="E630" s="3"/>
      <c r="F630" s="3"/>
      <c r="G630" s="3"/>
      <c r="H630" s="3"/>
      <c r="I630" s="3"/>
      <c r="J630" s="3"/>
      <c r="K630" s="3"/>
      <c r="L630" s="3"/>
    </row>
    <row x14ac:dyDescent="0.25" r="631" customHeight="1" ht="18.75">
      <c r="A631" s="17"/>
      <c r="B631" s="17"/>
      <c r="C631" s="3"/>
      <c r="D631" s="3"/>
      <c r="E631" s="3"/>
      <c r="F631" s="3"/>
      <c r="G631" s="3"/>
      <c r="H631" s="3"/>
      <c r="I631" s="3"/>
      <c r="J631" s="3"/>
      <c r="K631" s="3"/>
      <c r="L631" s="3"/>
    </row>
    <row x14ac:dyDescent="0.25" r="632" customHeight="1" ht="18.75">
      <c r="A632" s="17"/>
      <c r="B632" s="17"/>
      <c r="C632" s="3"/>
      <c r="D632" s="3"/>
      <c r="E632" s="3"/>
      <c r="F632" s="3"/>
      <c r="G632" s="3"/>
      <c r="H632" s="3"/>
      <c r="I632" s="3"/>
      <c r="J632" s="3"/>
      <c r="K632" s="3"/>
      <c r="L632" s="3"/>
    </row>
    <row x14ac:dyDescent="0.25" r="633" customHeight="1" ht="18.75">
      <c r="A633" s="17"/>
      <c r="B633" s="17"/>
      <c r="C633" s="3"/>
      <c r="D633" s="3"/>
      <c r="E633" s="3"/>
      <c r="F633" s="3"/>
      <c r="G633" s="3"/>
      <c r="H633" s="3"/>
      <c r="I633" s="3"/>
      <c r="J633" s="3"/>
      <c r="K633" s="3"/>
      <c r="L633" s="3"/>
    </row>
    <row x14ac:dyDescent="0.25" r="634" customHeight="1" ht="18.75">
      <c r="A634" s="17"/>
      <c r="B634" s="17"/>
      <c r="C634" s="3"/>
      <c r="D634" s="3"/>
      <c r="E634" s="3"/>
      <c r="F634" s="3"/>
      <c r="G634" s="3"/>
      <c r="H634" s="3"/>
      <c r="I634" s="3"/>
      <c r="J634" s="3"/>
      <c r="K634" s="3"/>
      <c r="L634" s="3"/>
    </row>
    <row x14ac:dyDescent="0.25" r="635" customHeight="1" ht="18.75">
      <c r="A635" s="17"/>
      <c r="B635" s="17"/>
      <c r="C635" s="3"/>
      <c r="D635" s="3"/>
      <c r="E635" s="3"/>
      <c r="F635" s="3"/>
      <c r="G635" s="3"/>
      <c r="H635" s="3"/>
      <c r="I635" s="3"/>
      <c r="J635" s="3"/>
      <c r="K635" s="3"/>
      <c r="L635" s="3"/>
    </row>
    <row x14ac:dyDescent="0.25" r="636" customHeight="1" ht="18.75">
      <c r="A636" s="17"/>
      <c r="B636" s="17"/>
      <c r="C636" s="3"/>
      <c r="D636" s="3"/>
      <c r="E636" s="3"/>
      <c r="F636" s="3"/>
      <c r="G636" s="3"/>
      <c r="H636" s="3"/>
      <c r="I636" s="3"/>
      <c r="J636" s="3"/>
      <c r="K636" s="3"/>
      <c r="L636" s="3"/>
    </row>
    <row x14ac:dyDescent="0.25" r="637" customHeight="1" ht="18.75">
      <c r="A637" s="17"/>
      <c r="B637" s="17"/>
      <c r="C637" s="3"/>
      <c r="D637" s="3"/>
      <c r="E637" s="3"/>
      <c r="F637" s="3"/>
      <c r="G637" s="3"/>
      <c r="H637" s="3"/>
      <c r="I637" s="3"/>
      <c r="J637" s="3"/>
      <c r="K637" s="3"/>
      <c r="L637" s="3"/>
    </row>
    <row x14ac:dyDescent="0.25" r="638" customHeight="1" ht="18.75">
      <c r="A638" s="17"/>
      <c r="B638" s="17"/>
      <c r="C638" s="3"/>
      <c r="D638" s="3"/>
      <c r="E638" s="3"/>
      <c r="F638" s="3"/>
      <c r="G638" s="3"/>
      <c r="H638" s="3"/>
      <c r="I638" s="3"/>
      <c r="J638" s="3"/>
      <c r="K638" s="3"/>
      <c r="L638" s="3"/>
    </row>
    <row x14ac:dyDescent="0.25" r="639" customHeight="1" ht="18.75">
      <c r="A639" s="17"/>
      <c r="B639" s="17"/>
      <c r="C639" s="3"/>
      <c r="D639" s="3"/>
      <c r="E639" s="3"/>
      <c r="F639" s="3"/>
      <c r="G639" s="3"/>
      <c r="H639" s="3"/>
      <c r="I639" s="3"/>
      <c r="J639" s="3"/>
      <c r="K639" s="3"/>
      <c r="L639" s="3"/>
    </row>
    <row x14ac:dyDescent="0.25" r="640" customHeight="1" ht="18.75">
      <c r="A640" s="17"/>
      <c r="B640" s="17"/>
      <c r="C640" s="3"/>
      <c r="D640" s="3"/>
      <c r="E640" s="3"/>
      <c r="F640" s="3"/>
      <c r="G640" s="3"/>
      <c r="H640" s="3"/>
      <c r="I640" s="3"/>
      <c r="J640" s="3"/>
      <c r="K640" s="3"/>
      <c r="L640" s="3"/>
    </row>
    <row x14ac:dyDescent="0.25" r="641" customHeight="1" ht="18.75">
      <c r="A641" s="17"/>
      <c r="B641" s="17"/>
      <c r="C641" s="3"/>
      <c r="D641" s="3"/>
      <c r="E641" s="3"/>
      <c r="F641" s="3"/>
      <c r="G641" s="3"/>
      <c r="H641" s="3"/>
      <c r="I641" s="3"/>
      <c r="J641" s="3"/>
      <c r="K641" s="3"/>
      <c r="L641" s="3"/>
    </row>
    <row x14ac:dyDescent="0.25" r="642" customHeight="1" ht="18.75">
      <c r="A642" s="17"/>
      <c r="B642" s="17"/>
      <c r="C642" s="3"/>
      <c r="D642" s="3"/>
      <c r="E642" s="3"/>
      <c r="F642" s="3"/>
      <c r="G642" s="3"/>
      <c r="H642" s="3"/>
      <c r="I642" s="3"/>
      <c r="J642" s="3"/>
      <c r="K642" s="3"/>
      <c r="L642" s="3"/>
    </row>
    <row x14ac:dyDescent="0.25" r="643" customHeight="1" ht="18.75">
      <c r="A643" s="17"/>
      <c r="B643" s="17"/>
      <c r="C643" s="3"/>
      <c r="D643" s="3"/>
      <c r="E643" s="3"/>
      <c r="F643" s="3"/>
      <c r="G643" s="3"/>
      <c r="H643" s="3"/>
      <c r="I643" s="3"/>
      <c r="J643" s="3"/>
      <c r="K643" s="3"/>
      <c r="L643" s="3"/>
    </row>
    <row x14ac:dyDescent="0.25" r="644" customHeight="1" ht="18.75">
      <c r="A644" s="17"/>
      <c r="B644" s="17"/>
      <c r="C644" s="3"/>
      <c r="D644" s="3"/>
      <c r="E644" s="3"/>
      <c r="F644" s="3"/>
      <c r="G644" s="3"/>
      <c r="H644" s="3"/>
      <c r="I644" s="3"/>
      <c r="J644" s="3"/>
      <c r="K644" s="3"/>
      <c r="L644" s="3"/>
    </row>
    <row x14ac:dyDescent="0.25" r="645" customHeight="1" ht="18.75">
      <c r="A645" s="17"/>
      <c r="B645" s="17"/>
      <c r="C645" s="3"/>
      <c r="D645" s="3"/>
      <c r="E645" s="3"/>
      <c r="F645" s="3"/>
      <c r="G645" s="3"/>
      <c r="H645" s="3"/>
      <c r="I645" s="3"/>
      <c r="J645" s="3"/>
      <c r="K645" s="3"/>
      <c r="L645" s="3"/>
    </row>
    <row x14ac:dyDescent="0.25" r="646" customHeight="1" ht="18.75">
      <c r="A646" s="17"/>
      <c r="B646" s="17"/>
      <c r="C646" s="3"/>
      <c r="D646" s="3"/>
      <c r="E646" s="3"/>
      <c r="F646" s="3"/>
      <c r="G646" s="3"/>
      <c r="H646" s="3"/>
      <c r="I646" s="3"/>
      <c r="J646" s="3"/>
      <c r="K646" s="3"/>
      <c r="L646" s="3"/>
    </row>
    <row x14ac:dyDescent="0.25" r="647" customHeight="1" ht="18.75">
      <c r="A647" s="17"/>
      <c r="B647" s="17"/>
      <c r="C647" s="3"/>
      <c r="D647" s="3"/>
      <c r="E647" s="3"/>
      <c r="F647" s="3"/>
      <c r="G647" s="3"/>
      <c r="H647" s="3"/>
      <c r="I647" s="3"/>
      <c r="J647" s="3"/>
      <c r="K647" s="3"/>
      <c r="L647" s="3"/>
    </row>
    <row x14ac:dyDescent="0.25" r="648" customHeight="1" ht="18.75">
      <c r="A648" s="17"/>
      <c r="B648" s="17"/>
      <c r="C648" s="3"/>
      <c r="D648" s="3"/>
      <c r="E648" s="3"/>
      <c r="F648" s="3"/>
      <c r="G648" s="3"/>
      <c r="H648" s="3"/>
      <c r="I648" s="3"/>
      <c r="J648" s="3"/>
      <c r="K648" s="3"/>
      <c r="L648" s="3"/>
    </row>
    <row x14ac:dyDescent="0.25" r="649" customHeight="1" ht="18.75">
      <c r="A649" s="17"/>
      <c r="B649" s="17"/>
      <c r="C649" s="3"/>
      <c r="D649" s="3"/>
      <c r="E649" s="3"/>
      <c r="F649" s="3"/>
      <c r="G649" s="3"/>
      <c r="H649" s="3"/>
      <c r="I649" s="3"/>
      <c r="J649" s="3"/>
      <c r="K649" s="3"/>
      <c r="L649" s="3"/>
    </row>
    <row x14ac:dyDescent="0.25" r="650" customHeight="1" ht="18.75">
      <c r="A650" s="17"/>
      <c r="B650" s="17"/>
      <c r="C650" s="3"/>
      <c r="D650" s="3"/>
      <c r="E650" s="3"/>
      <c r="F650" s="3"/>
      <c r="G650" s="3"/>
      <c r="H650" s="3"/>
      <c r="I650" s="3"/>
      <c r="J650" s="3"/>
      <c r="K650" s="3"/>
      <c r="L650" s="3"/>
    </row>
    <row x14ac:dyDescent="0.25" r="651" customHeight="1" ht="18.75">
      <c r="A651" s="17"/>
      <c r="B651" s="17"/>
      <c r="C651" s="3"/>
      <c r="D651" s="3"/>
      <c r="E651" s="3"/>
      <c r="F651" s="3"/>
      <c r="G651" s="3"/>
      <c r="H651" s="3"/>
      <c r="I651" s="3"/>
      <c r="J651" s="3"/>
      <c r="K651" s="3"/>
      <c r="L651" s="3"/>
    </row>
    <row x14ac:dyDescent="0.25" r="652" customHeight="1" ht="18.75">
      <c r="A652" s="17"/>
      <c r="B652" s="17"/>
      <c r="C652" s="3"/>
      <c r="D652" s="3"/>
      <c r="E652" s="3"/>
      <c r="F652" s="3"/>
      <c r="G652" s="3"/>
      <c r="H652" s="3"/>
      <c r="I652" s="3"/>
      <c r="J652" s="3"/>
      <c r="K652" s="3"/>
      <c r="L652" s="3"/>
    </row>
    <row x14ac:dyDescent="0.25" r="653" customHeight="1" ht="18.75">
      <c r="A653" s="17"/>
      <c r="B653" s="17"/>
      <c r="C653" s="3"/>
      <c r="D653" s="3"/>
      <c r="E653" s="3"/>
      <c r="F653" s="3"/>
      <c r="G653" s="3"/>
      <c r="H653" s="3"/>
      <c r="I653" s="3"/>
      <c r="J653" s="3"/>
      <c r="K653" s="3"/>
      <c r="L653" s="3"/>
    </row>
    <row x14ac:dyDescent="0.25" r="654" customHeight="1" ht="18.75">
      <c r="A654" s="17"/>
      <c r="B654" s="17"/>
      <c r="C654" s="3"/>
      <c r="D654" s="3"/>
      <c r="E654" s="3"/>
      <c r="F654" s="3"/>
      <c r="G654" s="3"/>
      <c r="H654" s="3"/>
      <c r="I654" s="3"/>
      <c r="J654" s="3"/>
      <c r="K654" s="3"/>
      <c r="L654" s="3"/>
    </row>
    <row x14ac:dyDescent="0.25" r="655" customHeight="1" ht="18.75">
      <c r="A655" s="17"/>
      <c r="B655" s="17"/>
      <c r="C655" s="3"/>
      <c r="D655" s="3"/>
      <c r="E655" s="3"/>
      <c r="F655" s="3"/>
      <c r="G655" s="3"/>
      <c r="H655" s="3"/>
      <c r="I655" s="3"/>
      <c r="J655" s="3"/>
      <c r="K655" s="3"/>
      <c r="L655" s="3"/>
    </row>
    <row x14ac:dyDescent="0.25" r="656" customHeight="1" ht="18.75">
      <c r="A656" s="17"/>
      <c r="B656" s="17"/>
      <c r="C656" s="3"/>
      <c r="D656" s="3"/>
      <c r="E656" s="3"/>
      <c r="F656" s="3"/>
      <c r="G656" s="3"/>
      <c r="H656" s="3"/>
      <c r="I656" s="3"/>
      <c r="J656" s="3"/>
      <c r="K656" s="3"/>
      <c r="L656" s="3"/>
    </row>
    <row x14ac:dyDescent="0.25" r="657" customHeight="1" ht="18.75">
      <c r="A657" s="17"/>
      <c r="B657" s="17"/>
      <c r="C657" s="3"/>
      <c r="D657" s="3"/>
      <c r="E657" s="3"/>
      <c r="F657" s="3"/>
      <c r="G657" s="3"/>
      <c r="H657" s="3"/>
      <c r="I657" s="3"/>
      <c r="J657" s="3"/>
      <c r="K657" s="3"/>
      <c r="L657" s="3"/>
    </row>
    <row x14ac:dyDescent="0.25" r="658" customHeight="1" ht="18.75">
      <c r="A658" s="17"/>
      <c r="B658" s="17"/>
      <c r="C658" s="3"/>
      <c r="D658" s="3"/>
      <c r="E658" s="3"/>
      <c r="F658" s="3"/>
      <c r="G658" s="3"/>
      <c r="H658" s="3"/>
      <c r="I658" s="3"/>
      <c r="J658" s="3"/>
      <c r="K658" s="3"/>
      <c r="L658" s="3"/>
    </row>
    <row x14ac:dyDescent="0.25" r="659" customHeight="1" ht="18.75">
      <c r="A659" s="17"/>
      <c r="B659" s="17"/>
      <c r="C659" s="3"/>
      <c r="D659" s="3"/>
      <c r="E659" s="3"/>
      <c r="F659" s="3"/>
      <c r="G659" s="3"/>
      <c r="H659" s="3"/>
      <c r="I659" s="3"/>
      <c r="J659" s="3"/>
      <c r="K659" s="3"/>
      <c r="L659" s="3"/>
    </row>
    <row x14ac:dyDescent="0.25" r="660" customHeight="1" ht="18.75">
      <c r="A660" s="17"/>
      <c r="B660" s="17"/>
      <c r="C660" s="3"/>
      <c r="D660" s="3"/>
      <c r="E660" s="3"/>
      <c r="F660" s="3"/>
      <c r="G660" s="3"/>
      <c r="H660" s="3"/>
      <c r="I660" s="3"/>
      <c r="J660" s="3"/>
      <c r="K660" s="3"/>
      <c r="L660" s="3"/>
    </row>
    <row x14ac:dyDescent="0.25" r="661" customHeight="1" ht="18.75">
      <c r="A661" s="17"/>
      <c r="B661" s="17"/>
      <c r="C661" s="3"/>
      <c r="D661" s="3"/>
      <c r="E661" s="3"/>
      <c r="F661" s="3"/>
      <c r="G661" s="3"/>
      <c r="H661" s="3"/>
      <c r="I661" s="3"/>
      <c r="J661" s="3"/>
      <c r="K661" s="3"/>
      <c r="L661" s="3"/>
    </row>
    <row x14ac:dyDescent="0.25" r="662" customHeight="1" ht="18.75">
      <c r="A662" s="17"/>
      <c r="B662" s="17"/>
      <c r="C662" s="3"/>
      <c r="D662" s="3"/>
      <c r="E662" s="3"/>
      <c r="F662" s="3"/>
      <c r="G662" s="3"/>
      <c r="H662" s="3"/>
      <c r="I662" s="3"/>
      <c r="J662" s="3"/>
      <c r="K662" s="3"/>
      <c r="L662" s="3"/>
    </row>
    <row x14ac:dyDescent="0.25" r="663" customHeight="1" ht="18.75">
      <c r="A663" s="17"/>
      <c r="B663" s="17"/>
      <c r="C663" s="3"/>
      <c r="D663" s="3"/>
      <c r="E663" s="3"/>
      <c r="F663" s="3"/>
      <c r="G663" s="3"/>
      <c r="H663" s="3"/>
      <c r="I663" s="3"/>
      <c r="J663" s="3"/>
      <c r="K663" s="3"/>
      <c r="L663" s="3"/>
    </row>
    <row x14ac:dyDescent="0.25" r="664" customHeight="1" ht="18.75">
      <c r="A664" s="17"/>
      <c r="B664" s="17"/>
      <c r="C664" s="3"/>
      <c r="D664" s="3"/>
      <c r="E664" s="3"/>
      <c r="F664" s="3"/>
      <c r="G664" s="3"/>
      <c r="H664" s="3"/>
      <c r="I664" s="3"/>
      <c r="J664" s="3"/>
      <c r="K664" s="3"/>
      <c r="L664" s="3"/>
    </row>
    <row x14ac:dyDescent="0.25" r="665" customHeight="1" ht="18.75">
      <c r="A665" s="17"/>
      <c r="B665" s="17"/>
      <c r="C665" s="3"/>
      <c r="D665" s="3"/>
      <c r="E665" s="3"/>
      <c r="F665" s="3"/>
      <c r="G665" s="3"/>
      <c r="H665" s="3"/>
      <c r="I665" s="3"/>
      <c r="J665" s="3"/>
      <c r="K665" s="3"/>
      <c r="L665" s="3"/>
    </row>
    <row x14ac:dyDescent="0.25" r="666" customHeight="1" ht="18.75">
      <c r="A666" s="17"/>
      <c r="B666" s="17"/>
      <c r="C666" s="3"/>
      <c r="D666" s="3"/>
      <c r="E666" s="3"/>
      <c r="F666" s="3"/>
      <c r="G666" s="3"/>
      <c r="H666" s="3"/>
      <c r="I666" s="3"/>
      <c r="J666" s="3"/>
      <c r="K666" s="3"/>
      <c r="L666" s="3"/>
    </row>
    <row x14ac:dyDescent="0.25" r="667" customHeight="1" ht="18.75">
      <c r="A667" s="17"/>
      <c r="B667" s="17"/>
      <c r="C667" s="3"/>
      <c r="D667" s="3"/>
      <c r="E667" s="3"/>
      <c r="F667" s="3"/>
      <c r="G667" s="3"/>
      <c r="H667" s="3"/>
      <c r="I667" s="3"/>
      <c r="J667" s="3"/>
      <c r="K667" s="3"/>
      <c r="L667" s="3"/>
    </row>
    <row x14ac:dyDescent="0.25" r="668" customHeight="1" ht="18.75">
      <c r="A668" s="17"/>
      <c r="B668" s="17"/>
      <c r="C668" s="3"/>
      <c r="D668" s="3"/>
      <c r="E668" s="3"/>
      <c r="F668" s="3"/>
      <c r="G668" s="3"/>
      <c r="H668" s="3"/>
      <c r="I668" s="3"/>
      <c r="J668" s="3"/>
      <c r="K668" s="3"/>
      <c r="L668" s="3"/>
    </row>
    <row x14ac:dyDescent="0.25" r="669" customHeight="1" ht="18.75">
      <c r="A669" s="17"/>
      <c r="B669" s="17"/>
      <c r="C669" s="3"/>
      <c r="D669" s="3"/>
      <c r="E669" s="3"/>
      <c r="F669" s="3"/>
      <c r="G669" s="3"/>
      <c r="H669" s="3"/>
      <c r="I669" s="3"/>
      <c r="J669" s="3"/>
      <c r="K669" s="3"/>
      <c r="L669" s="3"/>
    </row>
    <row x14ac:dyDescent="0.25" r="670" customHeight="1" ht="18.75">
      <c r="A670" s="17"/>
      <c r="B670" s="17"/>
      <c r="C670" s="3"/>
      <c r="D670" s="3"/>
      <c r="E670" s="3"/>
      <c r="F670" s="3"/>
      <c r="G670" s="3"/>
      <c r="H670" s="3"/>
      <c r="I670" s="3"/>
      <c r="J670" s="3"/>
      <c r="K670" s="3"/>
      <c r="L670" s="3"/>
    </row>
    <row x14ac:dyDescent="0.25" r="671" customHeight="1" ht="18.75">
      <c r="A671" s="17"/>
      <c r="B671" s="17"/>
      <c r="C671" s="3"/>
      <c r="D671" s="3"/>
      <c r="E671" s="3"/>
      <c r="F671" s="3"/>
      <c r="G671" s="3"/>
      <c r="H671" s="3"/>
      <c r="I671" s="3"/>
      <c r="J671" s="3"/>
      <c r="K671" s="3"/>
      <c r="L671" s="3"/>
    </row>
    <row x14ac:dyDescent="0.25" r="672" customHeight="1" ht="18.75">
      <c r="A672" s="17"/>
      <c r="B672" s="17"/>
      <c r="C672" s="3"/>
      <c r="D672" s="3"/>
      <c r="E672" s="3"/>
      <c r="F672" s="3"/>
      <c r="G672" s="3"/>
      <c r="H672" s="3"/>
      <c r="I672" s="3"/>
      <c r="J672" s="3"/>
      <c r="K672" s="3"/>
      <c r="L672" s="3"/>
    </row>
    <row x14ac:dyDescent="0.25" r="673" customHeight="1" ht="18.75">
      <c r="A673" s="17"/>
      <c r="B673" s="17"/>
      <c r="C673" s="3"/>
      <c r="D673" s="3"/>
      <c r="E673" s="3"/>
      <c r="F673" s="3"/>
      <c r="G673" s="3"/>
      <c r="H673" s="3"/>
      <c r="I673" s="3"/>
      <c r="J673" s="3"/>
      <c r="K673" s="3"/>
      <c r="L673" s="3"/>
    </row>
    <row x14ac:dyDescent="0.25" r="674" customHeight="1" ht="18.75">
      <c r="A674" s="17"/>
      <c r="B674" s="17"/>
      <c r="C674" s="3"/>
      <c r="D674" s="3"/>
      <c r="E674" s="3"/>
      <c r="F674" s="3"/>
      <c r="G674" s="3"/>
      <c r="H674" s="3"/>
      <c r="I674" s="3"/>
      <c r="J674" s="3"/>
      <c r="K674" s="3"/>
      <c r="L674" s="3"/>
    </row>
    <row x14ac:dyDescent="0.25" r="675" customHeight="1" ht="18.75">
      <c r="A675" s="17"/>
      <c r="B675" s="17"/>
      <c r="C675" s="3"/>
      <c r="D675" s="3"/>
      <c r="E675" s="3"/>
      <c r="F675" s="3"/>
      <c r="G675" s="3"/>
      <c r="H675" s="3"/>
      <c r="I675" s="3"/>
      <c r="J675" s="3"/>
      <c r="K675" s="3"/>
      <c r="L675" s="3"/>
    </row>
    <row x14ac:dyDescent="0.25" r="676" customHeight="1" ht="18.75">
      <c r="A676" s="17"/>
      <c r="B676" s="17"/>
      <c r="C676" s="3"/>
      <c r="D676" s="3"/>
      <c r="E676" s="3"/>
      <c r="F676" s="3"/>
      <c r="G676" s="3"/>
      <c r="H676" s="3"/>
      <c r="I676" s="3"/>
      <c r="J676" s="3"/>
      <c r="K676" s="3"/>
      <c r="L676" s="3"/>
    </row>
    <row x14ac:dyDescent="0.25" r="677" customHeight="1" ht="18.75">
      <c r="A677" s="17"/>
      <c r="B677" s="17"/>
      <c r="C677" s="3"/>
      <c r="D677" s="3"/>
      <c r="E677" s="3"/>
      <c r="F677" s="3"/>
      <c r="G677" s="3"/>
      <c r="H677" s="3"/>
      <c r="I677" s="3"/>
      <c r="J677" s="3"/>
      <c r="K677" s="3"/>
      <c r="L677" s="3"/>
    </row>
    <row x14ac:dyDescent="0.25" r="678" customHeight="1" ht="18.75">
      <c r="A678" s="17"/>
      <c r="B678" s="17"/>
      <c r="C678" s="3"/>
      <c r="D678" s="3"/>
      <c r="E678" s="3"/>
      <c r="F678" s="3"/>
      <c r="G678" s="3"/>
      <c r="H678" s="3"/>
      <c r="I678" s="3"/>
      <c r="J678" s="3"/>
      <c r="K678" s="3"/>
      <c r="L678" s="3"/>
    </row>
    <row x14ac:dyDescent="0.25" r="679" customHeight="1" ht="18.75">
      <c r="A679" s="17"/>
      <c r="B679" s="17"/>
      <c r="C679" s="3"/>
      <c r="D679" s="3"/>
      <c r="E679" s="3"/>
      <c r="F679" s="3"/>
      <c r="G679" s="3"/>
      <c r="H679" s="3"/>
      <c r="I679" s="3"/>
      <c r="J679" s="3"/>
      <c r="K679" s="3"/>
      <c r="L679" s="3"/>
    </row>
    <row x14ac:dyDescent="0.25" r="680" customHeight="1" ht="18.75">
      <c r="A680" s="17"/>
      <c r="B680" s="17"/>
      <c r="C680" s="3"/>
      <c r="D680" s="3"/>
      <c r="E680" s="3"/>
      <c r="F680" s="3"/>
      <c r="G680" s="3"/>
      <c r="H680" s="3"/>
      <c r="I680" s="3"/>
      <c r="J680" s="3"/>
      <c r="K680" s="3"/>
      <c r="L680" s="3"/>
    </row>
    <row x14ac:dyDescent="0.25" r="681" customHeight="1" ht="18.75">
      <c r="A681" s="17"/>
      <c r="B681" s="17"/>
      <c r="C681" s="3"/>
      <c r="D681" s="3"/>
      <c r="E681" s="3"/>
      <c r="F681" s="3"/>
      <c r="G681" s="3"/>
      <c r="H681" s="3"/>
      <c r="I681" s="3"/>
      <c r="J681" s="3"/>
      <c r="K681" s="3"/>
      <c r="L681" s="3"/>
    </row>
    <row x14ac:dyDescent="0.25" r="682" customHeight="1" ht="18.75">
      <c r="A682" s="17"/>
      <c r="B682" s="17"/>
      <c r="C682" s="3"/>
      <c r="D682" s="3"/>
      <c r="E682" s="3"/>
      <c r="F682" s="3"/>
      <c r="G682" s="3"/>
      <c r="H682" s="3"/>
      <c r="I682" s="3"/>
      <c r="J682" s="3"/>
      <c r="K682" s="3"/>
      <c r="L682" s="3"/>
    </row>
    <row x14ac:dyDescent="0.25" r="683" customHeight="1" ht="18.75">
      <c r="A683" s="17"/>
      <c r="B683" s="17"/>
      <c r="C683" s="3"/>
      <c r="D683" s="3"/>
      <c r="E683" s="3"/>
      <c r="F683" s="3"/>
      <c r="G683" s="3"/>
      <c r="H683" s="3"/>
      <c r="I683" s="3"/>
      <c r="J683" s="3"/>
      <c r="K683" s="3"/>
      <c r="L683" s="3"/>
    </row>
    <row x14ac:dyDescent="0.25" r="684" customHeight="1" ht="18.75">
      <c r="A684" s="17"/>
      <c r="B684" s="17"/>
      <c r="C684" s="3"/>
      <c r="D684" s="3"/>
      <c r="E684" s="3"/>
      <c r="F684" s="3"/>
      <c r="G684" s="3"/>
      <c r="H684" s="3"/>
      <c r="I684" s="3"/>
      <c r="J684" s="3"/>
      <c r="K684" s="3"/>
      <c r="L684" s="3"/>
    </row>
    <row x14ac:dyDescent="0.25" r="685" customHeight="1" ht="18.75">
      <c r="A685" s="17"/>
      <c r="B685" s="17"/>
      <c r="C685" s="3"/>
      <c r="D685" s="3"/>
      <c r="E685" s="3"/>
      <c r="F685" s="3"/>
      <c r="G685" s="3"/>
      <c r="H685" s="3"/>
      <c r="I685" s="3"/>
      <c r="J685" s="3"/>
      <c r="K685" s="3"/>
      <c r="L685" s="3"/>
    </row>
    <row x14ac:dyDescent="0.25" r="686" customHeight="1" ht="18.75">
      <c r="A686" s="17"/>
      <c r="B686" s="17"/>
      <c r="C686" s="3"/>
      <c r="D686" s="3"/>
      <c r="E686" s="3"/>
      <c r="F686" s="3"/>
      <c r="G686" s="3"/>
      <c r="H686" s="3"/>
      <c r="I686" s="3"/>
      <c r="J686" s="3"/>
      <c r="K686" s="3"/>
      <c r="L686" s="3"/>
    </row>
    <row x14ac:dyDescent="0.25" r="687" customHeight="1" ht="18.75">
      <c r="A687" s="17"/>
      <c r="B687" s="17"/>
      <c r="C687" s="3"/>
      <c r="D687" s="3"/>
      <c r="E687" s="3"/>
      <c r="F687" s="3"/>
      <c r="G687" s="3"/>
      <c r="H687" s="3"/>
      <c r="I687" s="3"/>
      <c r="J687" s="3"/>
      <c r="K687" s="3"/>
      <c r="L687" s="3"/>
    </row>
    <row x14ac:dyDescent="0.25" r="688" customHeight="1" ht="18.75">
      <c r="A688" s="17"/>
      <c r="B688" s="17"/>
      <c r="C688" s="3"/>
      <c r="D688" s="3"/>
      <c r="E688" s="3"/>
      <c r="F688" s="3"/>
      <c r="G688" s="3"/>
      <c r="H688" s="3"/>
      <c r="I688" s="3"/>
      <c r="J688" s="3"/>
      <c r="K688" s="3"/>
      <c r="L688" s="3"/>
    </row>
    <row x14ac:dyDescent="0.25" r="689" customHeight="1" ht="18.75">
      <c r="A689" s="17"/>
      <c r="B689" s="17"/>
      <c r="C689" s="3"/>
      <c r="D689" s="3"/>
      <c r="E689" s="3"/>
      <c r="F689" s="3"/>
      <c r="G689" s="3"/>
      <c r="H689" s="3"/>
      <c r="I689" s="3"/>
      <c r="J689" s="3"/>
      <c r="K689" s="3"/>
      <c r="L689" s="3"/>
    </row>
    <row x14ac:dyDescent="0.25" r="690" customHeight="1" ht="18.75">
      <c r="A690" s="17"/>
      <c r="B690" s="17"/>
      <c r="C690" s="3"/>
      <c r="D690" s="3"/>
      <c r="E690" s="3"/>
      <c r="F690" s="3"/>
      <c r="G690" s="3"/>
      <c r="H690" s="3"/>
      <c r="I690" s="3"/>
      <c r="J690" s="3"/>
      <c r="K690" s="3"/>
      <c r="L690" s="3"/>
    </row>
    <row x14ac:dyDescent="0.25" r="691" customHeight="1" ht="18.75">
      <c r="A691" s="17"/>
      <c r="B691" s="17"/>
      <c r="C691" s="3"/>
      <c r="D691" s="3"/>
      <c r="E691" s="3"/>
      <c r="F691" s="3"/>
      <c r="G691" s="3"/>
      <c r="H691" s="3"/>
      <c r="I691" s="3"/>
      <c r="J691" s="3"/>
      <c r="K691" s="3"/>
      <c r="L691" s="3"/>
    </row>
    <row x14ac:dyDescent="0.25" r="692" customHeight="1" ht="18.75">
      <c r="A692" s="17"/>
      <c r="B692" s="17"/>
      <c r="C692" s="3"/>
      <c r="D692" s="3"/>
      <c r="E692" s="3"/>
      <c r="F692" s="3"/>
      <c r="G692" s="3"/>
      <c r="H692" s="3"/>
      <c r="I692" s="3"/>
      <c r="J692" s="3"/>
      <c r="K692" s="3"/>
      <c r="L692" s="3"/>
    </row>
    <row x14ac:dyDescent="0.25" r="693" customHeight="1" ht="18.75">
      <c r="A693" s="17"/>
      <c r="B693" s="17"/>
      <c r="C693" s="3"/>
      <c r="D693" s="3"/>
      <c r="E693" s="3"/>
      <c r="F693" s="3"/>
      <c r="G693" s="3"/>
      <c r="H693" s="3"/>
      <c r="I693" s="3"/>
      <c r="J693" s="3"/>
      <c r="K693" s="3"/>
      <c r="L693" s="3"/>
    </row>
    <row x14ac:dyDescent="0.25" r="694" customHeight="1" ht="18.75">
      <c r="A694" s="17"/>
      <c r="B694" s="17"/>
      <c r="C694" s="3"/>
      <c r="D694" s="3"/>
      <c r="E694" s="3"/>
      <c r="F694" s="3"/>
      <c r="G694" s="3"/>
      <c r="H694" s="3"/>
      <c r="I694" s="3"/>
      <c r="J694" s="3"/>
      <c r="K694" s="3"/>
      <c r="L694" s="3"/>
    </row>
    <row x14ac:dyDescent="0.25" r="695" customHeight="1" ht="18.75">
      <c r="A695" s="17"/>
      <c r="B695" s="17"/>
      <c r="C695" s="3"/>
      <c r="D695" s="3"/>
      <c r="E695" s="3"/>
      <c r="F695" s="3"/>
      <c r="G695" s="3"/>
      <c r="H695" s="3"/>
      <c r="I695" s="3"/>
      <c r="J695" s="3"/>
      <c r="K695" s="3"/>
      <c r="L695" s="3"/>
    </row>
    <row x14ac:dyDescent="0.25" r="696" customHeight="1" ht="18.75">
      <c r="A696" s="17"/>
      <c r="B696" s="17"/>
      <c r="C696" s="3"/>
      <c r="D696" s="3"/>
      <c r="E696" s="3"/>
      <c r="F696" s="3"/>
      <c r="G696" s="3"/>
      <c r="H696" s="3"/>
      <c r="I696" s="3"/>
      <c r="J696" s="3"/>
      <c r="K696" s="3"/>
      <c r="L696" s="3"/>
    </row>
    <row x14ac:dyDescent="0.25" r="697" customHeight="1" ht="18.75">
      <c r="A697" s="17"/>
      <c r="B697" s="17"/>
      <c r="C697" s="3"/>
      <c r="D697" s="3"/>
      <c r="E697" s="3"/>
      <c r="F697" s="3"/>
      <c r="G697" s="3"/>
      <c r="H697" s="3"/>
      <c r="I697" s="3"/>
      <c r="J697" s="3"/>
      <c r="K697" s="3"/>
      <c r="L697" s="3"/>
    </row>
    <row x14ac:dyDescent="0.25" r="698" customHeight="1" ht="18.75">
      <c r="A698" s="17"/>
      <c r="B698" s="17"/>
      <c r="C698" s="3"/>
      <c r="D698" s="3"/>
      <c r="E698" s="3"/>
      <c r="F698" s="3"/>
      <c r="G698" s="3"/>
      <c r="H698" s="3"/>
      <c r="I698" s="3"/>
      <c r="J698" s="3"/>
      <c r="K698" s="3"/>
      <c r="L698" s="3"/>
    </row>
    <row x14ac:dyDescent="0.25" r="699" customHeight="1" ht="18.75">
      <c r="A699" s="17"/>
      <c r="B699" s="17"/>
      <c r="C699" s="3"/>
      <c r="D699" s="3"/>
      <c r="E699" s="3"/>
      <c r="F699" s="3"/>
      <c r="G699" s="3"/>
      <c r="H699" s="3"/>
      <c r="I699" s="3"/>
      <c r="J699" s="3"/>
      <c r="K699" s="3"/>
      <c r="L699" s="3"/>
    </row>
    <row x14ac:dyDescent="0.25" r="700" customHeight="1" ht="18.75">
      <c r="A700" s="17"/>
      <c r="B700" s="17"/>
      <c r="C700" s="3"/>
      <c r="D700" s="3"/>
      <c r="E700" s="3"/>
      <c r="F700" s="3"/>
      <c r="G700" s="3"/>
      <c r="H700" s="3"/>
      <c r="I700" s="3"/>
      <c r="J700" s="3"/>
      <c r="K700" s="3"/>
      <c r="L700" s="3"/>
    </row>
    <row x14ac:dyDescent="0.25" r="701" customHeight="1" ht="18.75">
      <c r="A701" s="17"/>
      <c r="B701" s="17"/>
      <c r="C701" s="3"/>
      <c r="D701" s="3"/>
      <c r="E701" s="3"/>
      <c r="F701" s="3"/>
      <c r="G701" s="3"/>
      <c r="H701" s="3"/>
      <c r="I701" s="3"/>
      <c r="J701" s="3"/>
      <c r="K701" s="3"/>
      <c r="L701" s="3"/>
    </row>
    <row x14ac:dyDescent="0.25" r="702" customHeight="1" ht="18.75">
      <c r="A702" s="17"/>
      <c r="B702" s="17"/>
      <c r="C702" s="3"/>
      <c r="D702" s="3"/>
      <c r="E702" s="3"/>
      <c r="F702" s="3"/>
      <c r="G702" s="3"/>
      <c r="H702" s="3"/>
      <c r="I702" s="3"/>
      <c r="J702" s="3"/>
      <c r="K702" s="3"/>
      <c r="L702" s="3"/>
    </row>
    <row x14ac:dyDescent="0.25" r="703" customHeight="1" ht="18.75">
      <c r="A703" s="17"/>
      <c r="B703" s="17"/>
      <c r="C703" s="3"/>
      <c r="D703" s="3"/>
      <c r="E703" s="3"/>
      <c r="F703" s="3"/>
      <c r="G703" s="3"/>
      <c r="H703" s="3"/>
      <c r="I703" s="3"/>
      <c r="J703" s="3"/>
      <c r="K703" s="3"/>
      <c r="L703" s="3"/>
    </row>
    <row x14ac:dyDescent="0.25" r="704" customHeight="1" ht="18.75">
      <c r="A704" s="17"/>
      <c r="B704" s="17"/>
      <c r="C704" s="3"/>
      <c r="D704" s="3"/>
      <c r="E704" s="3"/>
      <c r="F704" s="3"/>
      <c r="G704" s="3"/>
      <c r="H704" s="3"/>
      <c r="I704" s="3"/>
      <c r="J704" s="3"/>
      <c r="K704" s="3"/>
      <c r="L704" s="3"/>
    </row>
    <row x14ac:dyDescent="0.25" r="705" customHeight="1" ht="18.75">
      <c r="A705" s="17"/>
      <c r="B705" s="17"/>
      <c r="C705" s="3"/>
      <c r="D705" s="3"/>
      <c r="E705" s="3"/>
      <c r="F705" s="3"/>
      <c r="G705" s="3"/>
      <c r="H705" s="3"/>
      <c r="I705" s="3"/>
      <c r="J705" s="3"/>
      <c r="K705" s="3"/>
      <c r="L705" s="3"/>
    </row>
    <row x14ac:dyDescent="0.25" r="706" customHeight="1" ht="18.75">
      <c r="A706" s="17"/>
      <c r="B706" s="17"/>
      <c r="C706" s="3"/>
      <c r="D706" s="3"/>
      <c r="E706" s="3"/>
      <c r="F706" s="3"/>
      <c r="G706" s="3"/>
      <c r="H706" s="3"/>
      <c r="I706" s="3"/>
      <c r="J706" s="3"/>
      <c r="K706" s="3"/>
      <c r="L706" s="3"/>
    </row>
    <row x14ac:dyDescent="0.25" r="707" customHeight="1" ht="18.75">
      <c r="A707" s="17"/>
      <c r="B707" s="17"/>
      <c r="C707" s="3"/>
      <c r="D707" s="3"/>
      <c r="E707" s="3"/>
      <c r="F707" s="3"/>
      <c r="G707" s="3"/>
      <c r="H707" s="3"/>
      <c r="I707" s="3"/>
      <c r="J707" s="3"/>
      <c r="K707" s="3"/>
      <c r="L707" s="3"/>
    </row>
    <row x14ac:dyDescent="0.25" r="708" customHeight="1" ht="18.75">
      <c r="A708" s="17"/>
      <c r="B708" s="17"/>
      <c r="C708" s="3"/>
      <c r="D708" s="3"/>
      <c r="E708" s="3"/>
      <c r="F708" s="3"/>
      <c r="G708" s="3"/>
      <c r="H708" s="3"/>
      <c r="I708" s="3"/>
      <c r="J708" s="3"/>
      <c r="K708" s="3"/>
      <c r="L708" s="3"/>
    </row>
    <row x14ac:dyDescent="0.25" r="709" customHeight="1" ht="18.75">
      <c r="A709" s="17"/>
      <c r="B709" s="17"/>
      <c r="C709" s="3"/>
      <c r="D709" s="3"/>
      <c r="E709" s="3"/>
      <c r="F709" s="3"/>
      <c r="G709" s="3"/>
      <c r="H709" s="3"/>
      <c r="I709" s="3"/>
      <c r="J709" s="3"/>
      <c r="K709" s="3"/>
      <c r="L709" s="3"/>
    </row>
    <row x14ac:dyDescent="0.25" r="710" customHeight="1" ht="18.75">
      <c r="A710" s="17"/>
      <c r="B710" s="17"/>
      <c r="C710" s="3"/>
      <c r="D710" s="3"/>
      <c r="E710" s="3"/>
      <c r="F710" s="3"/>
      <c r="G710" s="3"/>
      <c r="H710" s="3"/>
      <c r="I710" s="3"/>
      <c r="J710" s="3"/>
      <c r="K710" s="3"/>
      <c r="L710" s="3"/>
    </row>
    <row x14ac:dyDescent="0.25" r="711" customHeight="1" ht="18.75">
      <c r="A711" s="17"/>
      <c r="B711" s="17"/>
      <c r="C711" s="3"/>
      <c r="D711" s="3"/>
      <c r="E711" s="3"/>
      <c r="F711" s="3"/>
      <c r="G711" s="3"/>
      <c r="H711" s="3"/>
      <c r="I711" s="3"/>
      <c r="J711" s="3"/>
      <c r="K711" s="3"/>
      <c r="L711" s="3"/>
    </row>
    <row x14ac:dyDescent="0.25" r="712" customHeight="1" ht="18.75">
      <c r="A712" s="17"/>
      <c r="B712" s="17"/>
      <c r="C712" s="3"/>
      <c r="D712" s="3"/>
      <c r="E712" s="3"/>
      <c r="F712" s="3"/>
      <c r="G712" s="3"/>
      <c r="H712" s="3"/>
      <c r="I712" s="3"/>
      <c r="J712" s="3"/>
      <c r="K712" s="3"/>
      <c r="L712" s="3"/>
    </row>
    <row x14ac:dyDescent="0.25" r="713" customHeight="1" ht="18.75">
      <c r="A713" s="17"/>
      <c r="B713" s="17"/>
      <c r="C713" s="3"/>
      <c r="D713" s="3"/>
      <c r="E713" s="3"/>
      <c r="F713" s="3"/>
      <c r="G713" s="3"/>
      <c r="H713" s="3"/>
      <c r="I713" s="3"/>
      <c r="J713" s="3"/>
      <c r="K713" s="3"/>
      <c r="L713" s="3"/>
    </row>
    <row x14ac:dyDescent="0.25" r="714" customHeight="1" ht="18.75">
      <c r="A714" s="17"/>
      <c r="B714" s="17"/>
      <c r="C714" s="3"/>
      <c r="D714" s="3"/>
      <c r="E714" s="3"/>
      <c r="F714" s="3"/>
      <c r="G714" s="3"/>
      <c r="H714" s="3"/>
      <c r="I714" s="3"/>
      <c r="J714" s="3"/>
      <c r="K714" s="3"/>
      <c r="L714" s="3"/>
    </row>
    <row x14ac:dyDescent="0.25" r="715" customHeight="1" ht="18.75">
      <c r="A715" s="17"/>
      <c r="B715" s="17"/>
      <c r="C715" s="3"/>
      <c r="D715" s="3"/>
      <c r="E715" s="3"/>
      <c r="F715" s="3"/>
      <c r="G715" s="3"/>
      <c r="H715" s="3"/>
      <c r="I715" s="3"/>
      <c r="J715" s="3"/>
      <c r="K715" s="3"/>
      <c r="L715" s="3"/>
    </row>
    <row x14ac:dyDescent="0.25" r="716" customHeight="1" ht="18.75">
      <c r="A716" s="17"/>
      <c r="B716" s="17"/>
      <c r="C716" s="3"/>
      <c r="D716" s="3"/>
      <c r="E716" s="3"/>
      <c r="F716" s="3"/>
      <c r="G716" s="3"/>
      <c r="H716" s="3"/>
      <c r="I716" s="3"/>
      <c r="J716" s="3"/>
      <c r="K716" s="3"/>
      <c r="L716" s="3"/>
    </row>
    <row x14ac:dyDescent="0.25" r="717" customHeight="1" ht="18.75">
      <c r="A717" s="17"/>
      <c r="B717" s="17"/>
      <c r="C717" s="3"/>
      <c r="D717" s="3"/>
      <c r="E717" s="3"/>
      <c r="F717" s="3"/>
      <c r="G717" s="3"/>
      <c r="H717" s="3"/>
      <c r="I717" s="3"/>
      <c r="J717" s="3"/>
      <c r="K717" s="3"/>
      <c r="L717" s="3"/>
    </row>
    <row x14ac:dyDescent="0.25" r="718" customHeight="1" ht="18.75">
      <c r="A718" s="17"/>
      <c r="B718" s="17"/>
      <c r="C718" s="3"/>
      <c r="D718" s="3"/>
      <c r="E718" s="3"/>
      <c r="F718" s="3"/>
      <c r="G718" s="3"/>
      <c r="H718" s="3"/>
      <c r="I718" s="3"/>
      <c r="J718" s="3"/>
      <c r="K718" s="3"/>
      <c r="L718" s="3"/>
    </row>
    <row x14ac:dyDescent="0.25" r="719" customHeight="1" ht="18.75">
      <c r="A719" s="17"/>
      <c r="B719" s="17"/>
      <c r="C719" s="3"/>
      <c r="D719" s="3"/>
      <c r="E719" s="3"/>
      <c r="F719" s="3"/>
      <c r="G719" s="3"/>
      <c r="H719" s="3"/>
      <c r="I719" s="3"/>
      <c r="J719" s="3"/>
      <c r="K719" s="3"/>
      <c r="L719" s="3"/>
    </row>
    <row x14ac:dyDescent="0.25" r="720" customHeight="1" ht="18.75">
      <c r="A720" s="17"/>
      <c r="B720" s="17"/>
      <c r="C720" s="3"/>
      <c r="D720" s="3"/>
      <c r="E720" s="3"/>
      <c r="F720" s="3"/>
      <c r="G720" s="3"/>
      <c r="H720" s="3"/>
      <c r="I720" s="3"/>
      <c r="J720" s="3"/>
      <c r="K720" s="3"/>
      <c r="L720" s="3"/>
    </row>
    <row x14ac:dyDescent="0.25" r="721" customHeight="1" ht="18.75">
      <c r="A721" s="17"/>
      <c r="B721" s="17"/>
      <c r="C721" s="3"/>
      <c r="D721" s="3"/>
      <c r="E721" s="3"/>
      <c r="F721" s="3"/>
      <c r="G721" s="3"/>
      <c r="H721" s="3"/>
      <c r="I721" s="3"/>
      <c r="J721" s="3"/>
      <c r="K721" s="3"/>
      <c r="L721" s="3"/>
    </row>
    <row x14ac:dyDescent="0.25" r="722" customHeight="1" ht="18.75">
      <c r="A722" s="17"/>
      <c r="B722" s="17"/>
      <c r="C722" s="3"/>
      <c r="D722" s="3"/>
      <c r="E722" s="3"/>
      <c r="F722" s="3"/>
      <c r="G722" s="3"/>
      <c r="H722" s="3"/>
      <c r="I722" s="3"/>
      <c r="J722" s="3"/>
      <c r="K722" s="3"/>
      <c r="L722" s="3"/>
    </row>
    <row x14ac:dyDescent="0.25" r="723" customHeight="1" ht="18.75">
      <c r="A723" s="17"/>
      <c r="B723" s="17"/>
      <c r="C723" s="3"/>
      <c r="D723" s="3"/>
      <c r="E723" s="3"/>
      <c r="F723" s="3"/>
      <c r="G723" s="3"/>
      <c r="H723" s="3"/>
      <c r="I723" s="3"/>
      <c r="J723" s="3"/>
      <c r="K723" s="3"/>
      <c r="L723" s="3"/>
    </row>
    <row x14ac:dyDescent="0.25" r="724" customHeight="1" ht="18.75">
      <c r="A724" s="17"/>
      <c r="B724" s="17"/>
      <c r="C724" s="3"/>
      <c r="D724" s="3"/>
      <c r="E724" s="3"/>
      <c r="F724" s="3"/>
      <c r="G724" s="3"/>
      <c r="H724" s="3"/>
      <c r="I724" s="3"/>
      <c r="J724" s="3"/>
      <c r="K724" s="3"/>
      <c r="L724" s="3"/>
    </row>
    <row x14ac:dyDescent="0.25" r="725" customHeight="1" ht="18.75">
      <c r="A725" s="17"/>
      <c r="B725" s="17"/>
      <c r="C725" s="3"/>
      <c r="D725" s="3"/>
      <c r="E725" s="3"/>
      <c r="F725" s="3"/>
      <c r="G725" s="3"/>
      <c r="H725" s="3"/>
      <c r="I725" s="3"/>
      <c r="J725" s="3"/>
      <c r="K725" s="3"/>
      <c r="L725" s="3"/>
    </row>
    <row x14ac:dyDescent="0.25" r="726" customHeight="1" ht="18.75">
      <c r="A726" s="17"/>
      <c r="B726" s="17"/>
      <c r="C726" s="3"/>
      <c r="D726" s="3"/>
      <c r="E726" s="3"/>
      <c r="F726" s="3"/>
      <c r="G726" s="3"/>
      <c r="H726" s="3"/>
      <c r="I726" s="3"/>
      <c r="J726" s="3"/>
      <c r="K726" s="3"/>
      <c r="L726" s="3"/>
    </row>
    <row x14ac:dyDescent="0.25" r="727" customHeight="1" ht="18.75">
      <c r="A727" s="17"/>
      <c r="B727" s="17"/>
      <c r="C727" s="3"/>
      <c r="D727" s="3"/>
      <c r="E727" s="3"/>
      <c r="F727" s="3"/>
      <c r="G727" s="3"/>
      <c r="H727" s="3"/>
      <c r="I727" s="3"/>
      <c r="J727" s="3"/>
      <c r="K727" s="3"/>
      <c r="L727" s="3"/>
    </row>
    <row x14ac:dyDescent="0.25" r="728" customHeight="1" ht="18.75">
      <c r="A728" s="17"/>
      <c r="B728" s="17"/>
      <c r="C728" s="3"/>
      <c r="D728" s="3"/>
      <c r="E728" s="3"/>
      <c r="F728" s="3"/>
      <c r="G728" s="3"/>
      <c r="H728" s="3"/>
      <c r="I728" s="3"/>
      <c r="J728" s="3"/>
      <c r="K728" s="3"/>
      <c r="L728" s="3"/>
    </row>
    <row x14ac:dyDescent="0.25" r="729" customHeight="1" ht="18.75">
      <c r="A729" s="17"/>
      <c r="B729" s="17"/>
      <c r="C729" s="3"/>
      <c r="D729" s="3"/>
      <c r="E729" s="3"/>
      <c r="F729" s="3"/>
      <c r="G729" s="3"/>
      <c r="H729" s="3"/>
      <c r="I729" s="3"/>
      <c r="J729" s="3"/>
      <c r="K729" s="3"/>
      <c r="L729" s="3"/>
    </row>
    <row x14ac:dyDescent="0.25" r="730" customHeight="1" ht="18.75">
      <c r="A730" s="17"/>
      <c r="B730" s="17"/>
      <c r="C730" s="3"/>
      <c r="D730" s="3"/>
      <c r="E730" s="3"/>
      <c r="F730" s="3"/>
      <c r="G730" s="3"/>
      <c r="H730" s="3"/>
      <c r="I730" s="3"/>
      <c r="J730" s="3"/>
      <c r="K730" s="3"/>
      <c r="L730" s="3"/>
    </row>
    <row x14ac:dyDescent="0.25" r="731" customHeight="1" ht="18.75">
      <c r="A731" s="17"/>
      <c r="B731" s="17"/>
      <c r="C731" s="3"/>
      <c r="D731" s="3"/>
      <c r="E731" s="3"/>
      <c r="F731" s="3"/>
      <c r="G731" s="3"/>
      <c r="H731" s="3"/>
      <c r="I731" s="3"/>
      <c r="J731" s="3"/>
      <c r="K731" s="3"/>
      <c r="L731" s="3"/>
    </row>
    <row x14ac:dyDescent="0.25" r="732" customHeight="1" ht="18.75">
      <c r="A732" s="17"/>
      <c r="B732" s="17"/>
      <c r="C732" s="3"/>
      <c r="D732" s="3"/>
      <c r="E732" s="3"/>
      <c r="F732" s="3"/>
      <c r="G732" s="3"/>
      <c r="H732" s="3"/>
      <c r="I732" s="3"/>
      <c r="J732" s="3"/>
      <c r="K732" s="3"/>
      <c r="L732" s="3"/>
    </row>
    <row x14ac:dyDescent="0.25" r="733" customHeight="1" ht="18.75">
      <c r="A733" s="17"/>
      <c r="B733" s="17"/>
      <c r="C733" s="3"/>
      <c r="D733" s="3"/>
      <c r="E733" s="3"/>
      <c r="F733" s="3"/>
      <c r="G733" s="3"/>
      <c r="H733" s="3"/>
      <c r="I733" s="3"/>
      <c r="J733" s="3"/>
      <c r="K733" s="3"/>
      <c r="L733" s="3"/>
    </row>
    <row x14ac:dyDescent="0.25" r="734" customHeight="1" ht="18.75">
      <c r="A734" s="17"/>
      <c r="B734" s="17"/>
      <c r="C734" s="3"/>
      <c r="D734" s="3"/>
      <c r="E734" s="3"/>
      <c r="F734" s="3"/>
      <c r="G734" s="3"/>
      <c r="H734" s="3"/>
      <c r="I734" s="3"/>
      <c r="J734" s="3"/>
      <c r="K734" s="3"/>
      <c r="L734" s="3"/>
    </row>
    <row x14ac:dyDescent="0.25" r="735" customHeight="1" ht="18.75">
      <c r="A735" s="17"/>
      <c r="B735" s="17"/>
      <c r="C735" s="3"/>
      <c r="D735" s="3"/>
      <c r="E735" s="3"/>
      <c r="F735" s="3"/>
      <c r="G735" s="3"/>
      <c r="H735" s="3"/>
      <c r="I735" s="3"/>
      <c r="J735" s="3"/>
      <c r="K735" s="3"/>
      <c r="L735" s="3"/>
    </row>
    <row x14ac:dyDescent="0.25" r="736" customHeight="1" ht="18.75">
      <c r="A736" s="17"/>
      <c r="B736" s="17"/>
      <c r="C736" s="3"/>
      <c r="D736" s="3"/>
      <c r="E736" s="3"/>
      <c r="F736" s="3"/>
      <c r="G736" s="3"/>
      <c r="H736" s="3"/>
      <c r="I736" s="3"/>
      <c r="J736" s="3"/>
      <c r="K736" s="3"/>
      <c r="L736" s="3"/>
    </row>
    <row x14ac:dyDescent="0.25" r="737" customHeight="1" ht="18.75">
      <c r="A737" s="17"/>
      <c r="B737" s="17"/>
      <c r="C737" s="3"/>
      <c r="D737" s="3"/>
      <c r="E737" s="3"/>
      <c r="F737" s="3"/>
      <c r="G737" s="3"/>
      <c r="H737" s="3"/>
      <c r="I737" s="3"/>
      <c r="J737" s="3"/>
      <c r="K737" s="3"/>
      <c r="L737" s="3"/>
    </row>
    <row x14ac:dyDescent="0.25" r="738" customHeight="1" ht="18.75">
      <c r="A738" s="17"/>
      <c r="B738" s="17"/>
      <c r="C738" s="3"/>
      <c r="D738" s="3"/>
      <c r="E738" s="3"/>
      <c r="F738" s="3"/>
      <c r="G738" s="3"/>
      <c r="H738" s="3"/>
      <c r="I738" s="3"/>
      <c r="J738" s="3"/>
      <c r="K738" s="3"/>
      <c r="L738" s="3"/>
    </row>
    <row x14ac:dyDescent="0.25" r="739" customHeight="1" ht="18.75">
      <c r="A739" s="17"/>
      <c r="B739" s="17"/>
      <c r="C739" s="3"/>
      <c r="D739" s="3"/>
      <c r="E739" s="3"/>
      <c r="F739" s="3"/>
      <c r="G739" s="3"/>
      <c r="H739" s="3"/>
      <c r="I739" s="3"/>
      <c r="J739" s="3"/>
      <c r="K739" s="3"/>
      <c r="L739" s="3"/>
    </row>
    <row x14ac:dyDescent="0.25" r="740" customHeight="1" ht="18.75">
      <c r="A740" s="17"/>
      <c r="B740" s="17"/>
      <c r="C740" s="3"/>
      <c r="D740" s="3"/>
      <c r="E740" s="3"/>
      <c r="F740" s="3"/>
      <c r="G740" s="3"/>
      <c r="H740" s="3"/>
      <c r="I740" s="3"/>
      <c r="J740" s="3"/>
      <c r="K740" s="3"/>
      <c r="L740" s="3"/>
    </row>
    <row x14ac:dyDescent="0.25" r="741" customHeight="1" ht="18.75">
      <c r="A741" s="17"/>
      <c r="B741" s="17"/>
      <c r="C741" s="3"/>
      <c r="D741" s="3"/>
      <c r="E741" s="3"/>
      <c r="F741" s="3"/>
      <c r="G741" s="3"/>
      <c r="H741" s="3"/>
      <c r="I741" s="3"/>
      <c r="J741" s="3"/>
      <c r="K741" s="3"/>
      <c r="L741" s="3"/>
    </row>
    <row x14ac:dyDescent="0.25" r="742" customHeight="1" ht="18.75">
      <c r="A742" s="17"/>
      <c r="B742" s="17"/>
      <c r="C742" s="3"/>
      <c r="D742" s="3"/>
      <c r="E742" s="3"/>
      <c r="F742" s="3"/>
      <c r="G742" s="3"/>
      <c r="H742" s="3"/>
      <c r="I742" s="3"/>
      <c r="J742" s="3"/>
      <c r="K742" s="3"/>
      <c r="L742" s="3"/>
    </row>
    <row x14ac:dyDescent="0.25" r="743" customHeight="1" ht="18.75">
      <c r="A743" s="17"/>
      <c r="B743" s="17"/>
      <c r="C743" s="3"/>
      <c r="D743" s="3"/>
      <c r="E743" s="3"/>
      <c r="F743" s="3"/>
      <c r="G743" s="3"/>
      <c r="H743" s="3"/>
      <c r="I743" s="3"/>
      <c r="J743" s="3"/>
      <c r="K743" s="3"/>
      <c r="L743" s="3"/>
    </row>
    <row x14ac:dyDescent="0.25" r="744" customHeight="1" ht="18.75">
      <c r="A744" s="17"/>
      <c r="B744" s="17"/>
      <c r="C744" s="3"/>
      <c r="D744" s="3"/>
      <c r="E744" s="3"/>
      <c r="F744" s="3"/>
      <c r="G744" s="3"/>
      <c r="H744" s="3"/>
      <c r="I744" s="3"/>
      <c r="J744" s="3"/>
      <c r="K744" s="3"/>
      <c r="L744" s="3"/>
    </row>
    <row x14ac:dyDescent="0.25" r="745" customHeight="1" ht="18.75">
      <c r="A745" s="17"/>
      <c r="B745" s="17"/>
      <c r="C745" s="3"/>
      <c r="D745" s="3"/>
      <c r="E745" s="3"/>
      <c r="F745" s="3"/>
      <c r="G745" s="3"/>
      <c r="H745" s="3"/>
      <c r="I745" s="3"/>
      <c r="J745" s="3"/>
      <c r="K745" s="3"/>
      <c r="L745" s="3"/>
    </row>
    <row x14ac:dyDescent="0.25" r="746" customHeight="1" ht="18.75">
      <c r="A746" s="17"/>
      <c r="B746" s="17"/>
      <c r="C746" s="3"/>
      <c r="D746" s="3"/>
      <c r="E746" s="3"/>
      <c r="F746" s="3"/>
      <c r="G746" s="3"/>
      <c r="H746" s="3"/>
      <c r="I746" s="3"/>
      <c r="J746" s="3"/>
      <c r="K746" s="3"/>
      <c r="L746" s="3"/>
    </row>
    <row x14ac:dyDescent="0.25" r="747" customHeight="1" ht="18.75">
      <c r="A747" s="17"/>
      <c r="B747" s="17"/>
      <c r="C747" s="3"/>
      <c r="D747" s="3"/>
      <c r="E747" s="3"/>
      <c r="F747" s="3"/>
      <c r="G747" s="3"/>
      <c r="H747" s="3"/>
      <c r="I747" s="3"/>
      <c r="J747" s="3"/>
      <c r="K747" s="3"/>
      <c r="L747" s="3"/>
    </row>
    <row x14ac:dyDescent="0.25" r="748" customHeight="1" ht="18.75">
      <c r="A748" s="17"/>
      <c r="B748" s="17"/>
      <c r="C748" s="3"/>
      <c r="D748" s="3"/>
      <c r="E748" s="3"/>
      <c r="F748" s="3"/>
      <c r="G748" s="3"/>
      <c r="H748" s="3"/>
      <c r="I748" s="3"/>
      <c r="J748" s="3"/>
      <c r="K748" s="3"/>
      <c r="L748" s="3"/>
    </row>
    <row x14ac:dyDescent="0.25" r="749" customHeight="1" ht="18.75">
      <c r="A749" s="17"/>
      <c r="B749" s="17"/>
      <c r="C749" s="3"/>
      <c r="D749" s="3"/>
      <c r="E749" s="3"/>
      <c r="F749" s="3"/>
      <c r="G749" s="3"/>
      <c r="H749" s="3"/>
      <c r="I749" s="3"/>
      <c r="J749" s="3"/>
      <c r="K749" s="3"/>
      <c r="L749" s="3"/>
    </row>
    <row x14ac:dyDescent="0.25" r="750" customHeight="1" ht="18.75">
      <c r="A750" s="17"/>
      <c r="B750" s="17"/>
      <c r="C750" s="3"/>
      <c r="D750" s="3"/>
      <c r="E750" s="3"/>
      <c r="F750" s="3"/>
      <c r="G750" s="3"/>
      <c r="H750" s="3"/>
      <c r="I750" s="3"/>
      <c r="J750" s="3"/>
      <c r="K750" s="3"/>
      <c r="L750" s="3"/>
    </row>
    <row x14ac:dyDescent="0.25" r="751" customHeight="1" ht="18.75">
      <c r="A751" s="17"/>
      <c r="B751" s="17"/>
      <c r="C751" s="3"/>
      <c r="D751" s="3"/>
      <c r="E751" s="3"/>
      <c r="F751" s="3"/>
      <c r="G751" s="3"/>
      <c r="H751" s="3"/>
      <c r="I751" s="3"/>
      <c r="J751" s="3"/>
      <c r="K751" s="3"/>
      <c r="L751" s="3"/>
    </row>
    <row x14ac:dyDescent="0.25" r="752" customHeight="1" ht="18.75">
      <c r="A752" s="17"/>
      <c r="B752" s="17"/>
      <c r="C752" s="3"/>
      <c r="D752" s="3"/>
      <c r="E752" s="3"/>
      <c r="F752" s="3"/>
      <c r="G752" s="3"/>
      <c r="H752" s="3"/>
      <c r="I752" s="3"/>
      <c r="J752" s="3"/>
      <c r="K752" s="3"/>
      <c r="L752" s="3"/>
    </row>
    <row x14ac:dyDescent="0.25" r="753" customHeight="1" ht="18.75">
      <c r="A753" s="17"/>
      <c r="B753" s="17"/>
      <c r="C753" s="3"/>
      <c r="D753" s="3"/>
      <c r="E753" s="3"/>
      <c r="F753" s="3"/>
      <c r="G753" s="3"/>
      <c r="H753" s="3"/>
      <c r="I753" s="3"/>
      <c r="J753" s="3"/>
      <c r="K753" s="3"/>
      <c r="L753" s="3"/>
    </row>
    <row x14ac:dyDescent="0.25" r="754" customHeight="1" ht="18.75">
      <c r="A754" s="17"/>
      <c r="B754" s="17"/>
      <c r="C754" s="3"/>
      <c r="D754" s="3"/>
      <c r="E754" s="3"/>
      <c r="F754" s="3"/>
      <c r="G754" s="3"/>
      <c r="H754" s="3"/>
      <c r="I754" s="3"/>
      <c r="J754" s="3"/>
      <c r="K754" s="3"/>
      <c r="L754" s="3"/>
    </row>
    <row x14ac:dyDescent="0.25" r="755" customHeight="1" ht="18.75">
      <c r="A755" s="17"/>
      <c r="B755" s="17"/>
      <c r="C755" s="3"/>
      <c r="D755" s="3"/>
      <c r="E755" s="3"/>
      <c r="F755" s="3"/>
      <c r="G755" s="3"/>
      <c r="H755" s="3"/>
      <c r="I755" s="3"/>
      <c r="J755" s="3"/>
      <c r="K755" s="3"/>
      <c r="L755" s="3"/>
    </row>
    <row x14ac:dyDescent="0.25" r="756" customHeight="1" ht="18.75">
      <c r="A756" s="17"/>
      <c r="B756" s="17"/>
      <c r="C756" s="3"/>
      <c r="D756" s="3"/>
      <c r="E756" s="3"/>
      <c r="F756" s="3"/>
      <c r="G756" s="3"/>
      <c r="H756" s="3"/>
      <c r="I756" s="3"/>
      <c r="J756" s="3"/>
      <c r="K756" s="3"/>
      <c r="L756" s="3"/>
    </row>
    <row x14ac:dyDescent="0.25" r="757" customHeight="1" ht="18.75">
      <c r="A757" s="17"/>
      <c r="B757" s="17"/>
      <c r="C757" s="3"/>
      <c r="D757" s="3"/>
      <c r="E757" s="3"/>
      <c r="F757" s="3"/>
      <c r="G757" s="3"/>
      <c r="H757" s="3"/>
      <c r="I757" s="3"/>
      <c r="J757" s="3"/>
      <c r="K757" s="3"/>
      <c r="L757" s="3"/>
    </row>
    <row x14ac:dyDescent="0.25" r="758" customHeight="1" ht="18.75">
      <c r="A758" s="17"/>
      <c r="B758" s="17"/>
      <c r="C758" s="3"/>
      <c r="D758" s="3"/>
      <c r="E758" s="3"/>
      <c r="F758" s="3"/>
      <c r="G758" s="3"/>
      <c r="H758" s="3"/>
      <c r="I758" s="3"/>
      <c r="J758" s="3"/>
      <c r="K758" s="3"/>
      <c r="L758" s="3"/>
    </row>
    <row x14ac:dyDescent="0.25" r="759" customHeight="1" ht="18.75">
      <c r="A759" s="17"/>
      <c r="B759" s="17"/>
      <c r="C759" s="3"/>
      <c r="D759" s="3"/>
      <c r="E759" s="3"/>
      <c r="F759" s="3"/>
      <c r="G759" s="3"/>
      <c r="H759" s="3"/>
      <c r="I759" s="3"/>
      <c r="J759" s="3"/>
      <c r="K759" s="3"/>
      <c r="L759" s="3"/>
    </row>
    <row x14ac:dyDescent="0.25" r="760" customHeight="1" ht="18.75">
      <c r="A760" s="17"/>
      <c r="B760" s="17"/>
      <c r="C760" s="3"/>
      <c r="D760" s="3"/>
      <c r="E760" s="3"/>
      <c r="F760" s="3"/>
      <c r="G760" s="3"/>
      <c r="H760" s="3"/>
      <c r="I760" s="3"/>
      <c r="J760" s="3"/>
      <c r="K760" s="3"/>
      <c r="L760" s="3"/>
    </row>
    <row x14ac:dyDescent="0.25" r="761" customHeight="1" ht="18.75">
      <c r="A761" s="17"/>
      <c r="B761" s="17"/>
      <c r="C761" s="3"/>
      <c r="D761" s="3"/>
      <c r="E761" s="3"/>
      <c r="F761" s="3"/>
      <c r="G761" s="3"/>
      <c r="H761" s="3"/>
      <c r="I761" s="3"/>
      <c r="J761" s="3"/>
      <c r="K761" s="3"/>
      <c r="L761" s="3"/>
    </row>
    <row x14ac:dyDescent="0.25" r="762" customHeight="1" ht="18.75">
      <c r="A762" s="17"/>
      <c r="B762" s="17"/>
      <c r="C762" s="3"/>
      <c r="D762" s="3"/>
      <c r="E762" s="3"/>
      <c r="F762" s="3"/>
      <c r="G762" s="3"/>
      <c r="H762" s="3"/>
      <c r="I762" s="3"/>
      <c r="J762" s="3"/>
      <c r="K762" s="3"/>
      <c r="L762" s="3"/>
    </row>
    <row x14ac:dyDescent="0.25" r="763" customHeight="1" ht="18.75">
      <c r="A763" s="17"/>
      <c r="B763" s="17"/>
      <c r="C763" s="3"/>
      <c r="D763" s="3"/>
      <c r="E763" s="3"/>
      <c r="F763" s="3"/>
      <c r="G763" s="3"/>
      <c r="H763" s="3"/>
      <c r="I763" s="3"/>
      <c r="J763" s="3"/>
      <c r="K763" s="3"/>
      <c r="L763" s="3"/>
    </row>
    <row x14ac:dyDescent="0.25" r="764" customHeight="1" ht="18.75">
      <c r="A764" s="17"/>
      <c r="B764" s="17"/>
      <c r="C764" s="3"/>
      <c r="D764" s="3"/>
      <c r="E764" s="3"/>
      <c r="F764" s="3"/>
      <c r="G764" s="3"/>
      <c r="H764" s="3"/>
      <c r="I764" s="3"/>
      <c r="J764" s="3"/>
      <c r="K764" s="3"/>
      <c r="L764" s="3"/>
    </row>
    <row x14ac:dyDescent="0.25" r="765" customHeight="1" ht="18.75">
      <c r="A765" s="17"/>
      <c r="B765" s="17"/>
      <c r="C765" s="3"/>
      <c r="D765" s="3"/>
      <c r="E765" s="3"/>
      <c r="F765" s="3"/>
      <c r="G765" s="3"/>
      <c r="H765" s="3"/>
      <c r="I765" s="3"/>
      <c r="J765" s="3"/>
      <c r="K765" s="3"/>
      <c r="L765" s="3"/>
    </row>
    <row x14ac:dyDescent="0.25" r="766" customHeight="1" ht="18.75">
      <c r="A766" s="17"/>
      <c r="B766" s="17"/>
      <c r="C766" s="3"/>
      <c r="D766" s="3"/>
      <c r="E766" s="3"/>
      <c r="F766" s="3"/>
      <c r="G766" s="3"/>
      <c r="H766" s="3"/>
      <c r="I766" s="3"/>
      <c r="J766" s="3"/>
      <c r="K766" s="3"/>
      <c r="L766" s="3"/>
    </row>
    <row x14ac:dyDescent="0.25" r="767" customHeight="1" ht="18.75">
      <c r="A767" s="17"/>
      <c r="B767" s="17"/>
      <c r="C767" s="3"/>
      <c r="D767" s="3"/>
      <c r="E767" s="3"/>
      <c r="F767" s="3"/>
      <c r="G767" s="3"/>
      <c r="H767" s="3"/>
      <c r="I767" s="3"/>
      <c r="J767" s="3"/>
      <c r="K767" s="3"/>
      <c r="L767" s="3"/>
    </row>
    <row x14ac:dyDescent="0.25" r="768" customHeight="1" ht="18.75">
      <c r="A768" s="17"/>
      <c r="B768" s="17"/>
      <c r="C768" s="3"/>
      <c r="D768" s="3"/>
      <c r="E768" s="3"/>
      <c r="F768" s="3"/>
      <c r="G768" s="3"/>
      <c r="H768" s="3"/>
      <c r="I768" s="3"/>
      <c r="J768" s="3"/>
      <c r="K768" s="3"/>
      <c r="L768" s="3"/>
    </row>
    <row x14ac:dyDescent="0.25" r="769" customHeight="1" ht="18.75">
      <c r="A769" s="17"/>
      <c r="B769" s="17"/>
      <c r="C769" s="3"/>
      <c r="D769" s="3"/>
      <c r="E769" s="3"/>
      <c r="F769" s="3"/>
      <c r="G769" s="3"/>
      <c r="H769" s="3"/>
      <c r="I769" s="3"/>
      <c r="J769" s="3"/>
      <c r="K769" s="3"/>
      <c r="L769" s="3"/>
    </row>
    <row x14ac:dyDescent="0.25" r="770" customHeight="1" ht="18.75">
      <c r="A770" s="17"/>
      <c r="B770" s="17"/>
      <c r="C770" s="3"/>
      <c r="D770" s="3"/>
      <c r="E770" s="3"/>
      <c r="F770" s="3"/>
      <c r="G770" s="3"/>
      <c r="H770" s="3"/>
      <c r="I770" s="3"/>
      <c r="J770" s="3"/>
      <c r="K770" s="3"/>
      <c r="L770" s="3"/>
    </row>
    <row x14ac:dyDescent="0.25" r="771" customHeight="1" ht="18.75">
      <c r="A771" s="17"/>
      <c r="B771" s="17"/>
      <c r="C771" s="3"/>
      <c r="D771" s="3"/>
      <c r="E771" s="3"/>
      <c r="F771" s="3"/>
      <c r="G771" s="3"/>
      <c r="H771" s="3"/>
      <c r="I771" s="3"/>
      <c r="J771" s="3"/>
      <c r="K771" s="3"/>
      <c r="L771" s="3"/>
    </row>
    <row x14ac:dyDescent="0.25" r="772" customHeight="1" ht="18.75">
      <c r="A772" s="17"/>
      <c r="B772" s="17"/>
      <c r="C772" s="3"/>
      <c r="D772" s="3"/>
      <c r="E772" s="3"/>
      <c r="F772" s="3"/>
      <c r="G772" s="3"/>
      <c r="H772" s="3"/>
      <c r="I772" s="3"/>
      <c r="J772" s="3"/>
      <c r="K772" s="3"/>
      <c r="L772" s="3"/>
    </row>
    <row x14ac:dyDescent="0.25" r="773" customHeight="1" ht="18.75">
      <c r="A773" s="17"/>
      <c r="B773" s="17"/>
      <c r="C773" s="3"/>
      <c r="D773" s="3"/>
      <c r="E773" s="3"/>
      <c r="F773" s="3"/>
      <c r="G773" s="3"/>
      <c r="H773" s="3"/>
      <c r="I773" s="3"/>
      <c r="J773" s="3"/>
      <c r="K773" s="3"/>
      <c r="L773" s="3"/>
    </row>
    <row x14ac:dyDescent="0.25" r="774" customHeight="1" ht="18.75">
      <c r="A774" s="17"/>
      <c r="B774" s="17"/>
      <c r="C774" s="3"/>
      <c r="D774" s="3"/>
      <c r="E774" s="3"/>
      <c r="F774" s="3"/>
      <c r="G774" s="3"/>
      <c r="H774" s="3"/>
      <c r="I774" s="3"/>
      <c r="J774" s="3"/>
      <c r="K774" s="3"/>
      <c r="L774" s="3"/>
    </row>
    <row x14ac:dyDescent="0.25" r="775" customHeight="1" ht="18.75">
      <c r="A775" s="17"/>
      <c r="B775" s="17"/>
      <c r="C775" s="3"/>
      <c r="D775" s="3"/>
      <c r="E775" s="3"/>
      <c r="F775" s="3"/>
      <c r="G775" s="3"/>
      <c r="H775" s="3"/>
      <c r="I775" s="3"/>
      <c r="J775" s="3"/>
      <c r="K775" s="3"/>
      <c r="L775" s="3"/>
    </row>
    <row x14ac:dyDescent="0.25" r="776" customHeight="1" ht="18.75">
      <c r="A776" s="17"/>
      <c r="B776" s="17"/>
      <c r="C776" s="3"/>
      <c r="D776" s="3"/>
      <c r="E776" s="3"/>
      <c r="F776" s="3"/>
      <c r="G776" s="3"/>
      <c r="H776" s="3"/>
      <c r="I776" s="3"/>
      <c r="J776" s="3"/>
      <c r="K776" s="3"/>
      <c r="L776" s="3"/>
    </row>
    <row x14ac:dyDescent="0.25" r="777" customHeight="1" ht="18.75">
      <c r="A777" s="17"/>
      <c r="B777" s="17"/>
      <c r="C777" s="3"/>
      <c r="D777" s="3"/>
      <c r="E777" s="3"/>
      <c r="F777" s="3"/>
      <c r="G777" s="3"/>
      <c r="H777" s="3"/>
      <c r="I777" s="3"/>
      <c r="J777" s="3"/>
      <c r="K777" s="3"/>
      <c r="L777" s="3"/>
    </row>
    <row x14ac:dyDescent="0.25" r="778" customHeight="1" ht="18.75">
      <c r="A778" s="17"/>
      <c r="B778" s="17"/>
      <c r="C778" s="3"/>
      <c r="D778" s="3"/>
      <c r="E778" s="3"/>
      <c r="F778" s="3"/>
      <c r="G778" s="3"/>
      <c r="H778" s="3"/>
      <c r="I778" s="3"/>
      <c r="J778" s="3"/>
      <c r="K778" s="3"/>
      <c r="L778" s="3"/>
    </row>
    <row x14ac:dyDescent="0.25" r="779" customHeight="1" ht="18.75">
      <c r="A779" s="17"/>
      <c r="B779" s="17"/>
      <c r="C779" s="3"/>
      <c r="D779" s="3"/>
      <c r="E779" s="3"/>
      <c r="F779" s="3"/>
      <c r="G779" s="3"/>
      <c r="H779" s="3"/>
      <c r="I779" s="3"/>
      <c r="J779" s="3"/>
      <c r="K779" s="3"/>
      <c r="L779" s="3"/>
    </row>
    <row x14ac:dyDescent="0.25" r="780" customHeight="1" ht="18.75">
      <c r="A780" s="17"/>
      <c r="B780" s="17"/>
      <c r="C780" s="3"/>
      <c r="D780" s="3"/>
      <c r="E780" s="3"/>
      <c r="F780" s="3"/>
      <c r="G780" s="3"/>
      <c r="H780" s="3"/>
      <c r="I780" s="3"/>
      <c r="J780" s="3"/>
      <c r="K780" s="3"/>
      <c r="L780" s="3"/>
    </row>
    <row x14ac:dyDescent="0.25" r="781" customHeight="1" ht="18.75">
      <c r="A781" s="17"/>
      <c r="B781" s="17"/>
      <c r="C781" s="3"/>
      <c r="D781" s="3"/>
      <c r="E781" s="3"/>
      <c r="F781" s="3"/>
      <c r="G781" s="3"/>
      <c r="H781" s="3"/>
      <c r="I781" s="3"/>
      <c r="J781" s="3"/>
      <c r="K781" s="3"/>
      <c r="L781" s="3"/>
    </row>
    <row x14ac:dyDescent="0.25" r="782" customHeight="1" ht="18.75">
      <c r="A782" s="17"/>
      <c r="B782" s="17"/>
      <c r="C782" s="3"/>
      <c r="D782" s="3"/>
      <c r="E782" s="3"/>
      <c r="F782" s="3"/>
      <c r="G782" s="3"/>
      <c r="H782" s="3"/>
      <c r="I782" s="3"/>
      <c r="J782" s="3"/>
      <c r="K782" s="3"/>
      <c r="L782" s="3"/>
    </row>
    <row x14ac:dyDescent="0.25" r="783" customHeight="1" ht="18.75">
      <c r="A783" s="17"/>
      <c r="B783" s="17"/>
      <c r="C783" s="3"/>
      <c r="D783" s="3"/>
      <c r="E783" s="3"/>
      <c r="F783" s="3"/>
      <c r="G783" s="3"/>
      <c r="H783" s="3"/>
      <c r="I783" s="3"/>
      <c r="J783" s="3"/>
      <c r="K783" s="3"/>
      <c r="L783" s="3"/>
    </row>
    <row x14ac:dyDescent="0.25" r="784" customHeight="1" ht="18.75">
      <c r="A784" s="17"/>
      <c r="B784" s="17"/>
      <c r="C784" s="3"/>
      <c r="D784" s="3"/>
      <c r="E784" s="3"/>
      <c r="F784" s="3"/>
      <c r="G784" s="3"/>
      <c r="H784" s="3"/>
      <c r="I784" s="3"/>
      <c r="J784" s="3"/>
      <c r="K784" s="3"/>
      <c r="L784" s="3"/>
    </row>
    <row x14ac:dyDescent="0.25" r="785" customHeight="1" ht="18.75">
      <c r="A785" s="17"/>
      <c r="B785" s="17"/>
      <c r="C785" s="3"/>
      <c r="D785" s="3"/>
      <c r="E785" s="3"/>
      <c r="F785" s="3"/>
      <c r="G785" s="3"/>
      <c r="H785" s="3"/>
      <c r="I785" s="3"/>
      <c r="J785" s="3"/>
      <c r="K785" s="3"/>
      <c r="L785" s="3"/>
    </row>
    <row x14ac:dyDescent="0.25" r="786" customHeight="1" ht="18.75">
      <c r="A786" s="17"/>
      <c r="B786" s="17"/>
      <c r="C786" s="3"/>
      <c r="D786" s="3"/>
      <c r="E786" s="3"/>
      <c r="F786" s="3"/>
      <c r="G786" s="3"/>
      <c r="H786" s="3"/>
      <c r="I786" s="3"/>
      <c r="J786" s="3"/>
      <c r="K786" s="3"/>
      <c r="L786" s="3"/>
    </row>
    <row x14ac:dyDescent="0.25" r="787" customHeight="1" ht="18.75">
      <c r="A787" s="17"/>
      <c r="B787" s="17"/>
      <c r="C787" s="3"/>
      <c r="D787" s="3"/>
      <c r="E787" s="3"/>
      <c r="F787" s="3"/>
      <c r="G787" s="3"/>
      <c r="H787" s="3"/>
      <c r="I787" s="3"/>
      <c r="J787" s="3"/>
      <c r="K787" s="3"/>
      <c r="L787" s="3"/>
    </row>
    <row x14ac:dyDescent="0.25" r="788" customHeight="1" ht="18.75">
      <c r="A788" s="17"/>
      <c r="B788" s="17"/>
      <c r="C788" s="3"/>
      <c r="D788" s="3"/>
      <c r="E788" s="3"/>
      <c r="F788" s="3"/>
      <c r="G788" s="3"/>
      <c r="H788" s="3"/>
      <c r="I788" s="3"/>
      <c r="J788" s="3"/>
      <c r="K788" s="3"/>
      <c r="L788" s="3"/>
    </row>
    <row x14ac:dyDescent="0.25" r="789" customHeight="1" ht="18.75">
      <c r="A789" s="17"/>
      <c r="B789" s="17"/>
      <c r="C789" s="3"/>
      <c r="D789" s="3"/>
      <c r="E789" s="3"/>
      <c r="F789" s="3"/>
      <c r="G789" s="3"/>
      <c r="H789" s="3"/>
      <c r="I789" s="3"/>
      <c r="J789" s="3"/>
      <c r="K789" s="3"/>
      <c r="L789" s="3"/>
    </row>
    <row x14ac:dyDescent="0.25" r="790" customHeight="1" ht="18.75">
      <c r="A790" s="17"/>
      <c r="B790" s="17"/>
      <c r="C790" s="3"/>
      <c r="D790" s="3"/>
      <c r="E790" s="3"/>
      <c r="F790" s="3"/>
      <c r="G790" s="3"/>
      <c r="H790" s="3"/>
      <c r="I790" s="3"/>
      <c r="J790" s="3"/>
      <c r="K790" s="3"/>
      <c r="L790" s="3"/>
    </row>
    <row x14ac:dyDescent="0.25" r="791" customHeight="1" ht="18.75">
      <c r="A791" s="17"/>
      <c r="B791" s="17"/>
      <c r="C791" s="3"/>
      <c r="D791" s="3"/>
      <c r="E791" s="3"/>
      <c r="F791" s="3"/>
      <c r="G791" s="3"/>
      <c r="H791" s="3"/>
      <c r="I791" s="3"/>
      <c r="J791" s="3"/>
      <c r="K791" s="3"/>
      <c r="L791" s="3"/>
    </row>
    <row x14ac:dyDescent="0.25" r="792" customHeight="1" ht="18.75">
      <c r="A792" s="17"/>
      <c r="B792" s="17"/>
      <c r="C792" s="3"/>
      <c r="D792" s="3"/>
      <c r="E792" s="3"/>
      <c r="F792" s="3"/>
      <c r="G792" s="3"/>
      <c r="H792" s="3"/>
      <c r="I792" s="3"/>
      <c r="J792" s="3"/>
      <c r="K792" s="3"/>
      <c r="L792" s="3"/>
    </row>
    <row x14ac:dyDescent="0.25" r="793" customHeight="1" ht="18.75">
      <c r="A793" s="17"/>
      <c r="B793" s="17"/>
      <c r="C793" s="3"/>
      <c r="D793" s="3"/>
      <c r="E793" s="3"/>
      <c r="F793" s="3"/>
      <c r="G793" s="3"/>
      <c r="H793" s="3"/>
      <c r="I793" s="3"/>
      <c r="J793" s="3"/>
      <c r="K793" s="3"/>
      <c r="L793" s="3"/>
    </row>
    <row x14ac:dyDescent="0.25" r="794" customHeight="1" ht="18.75">
      <c r="A794" s="17"/>
      <c r="B794" s="17"/>
      <c r="C794" s="3"/>
      <c r="D794" s="3"/>
      <c r="E794" s="3"/>
      <c r="F794" s="3"/>
      <c r="G794" s="3"/>
      <c r="H794" s="3"/>
      <c r="I794" s="3"/>
      <c r="J794" s="3"/>
      <c r="K794" s="3"/>
      <c r="L794" s="3"/>
    </row>
    <row x14ac:dyDescent="0.25" r="795" customHeight="1" ht="18.75">
      <c r="A795" s="17"/>
      <c r="B795" s="17"/>
      <c r="C795" s="3"/>
      <c r="D795" s="3"/>
      <c r="E795" s="3"/>
      <c r="F795" s="3"/>
      <c r="G795" s="3"/>
      <c r="H795" s="3"/>
      <c r="I795" s="3"/>
      <c r="J795" s="3"/>
      <c r="K795" s="3"/>
      <c r="L795" s="3"/>
    </row>
    <row x14ac:dyDescent="0.25" r="796" customHeight="1" ht="18.75">
      <c r="A796" s="17"/>
      <c r="B796" s="17"/>
      <c r="C796" s="3"/>
      <c r="D796" s="3"/>
      <c r="E796" s="3"/>
      <c r="F796" s="3"/>
      <c r="G796" s="3"/>
      <c r="H796" s="3"/>
      <c r="I796" s="3"/>
      <c r="J796" s="3"/>
      <c r="K796" s="3"/>
      <c r="L796" s="3"/>
    </row>
    <row x14ac:dyDescent="0.25" r="797" customHeight="1" ht="18.75">
      <c r="A797" s="17"/>
      <c r="B797" s="17"/>
      <c r="C797" s="3"/>
      <c r="D797" s="3"/>
      <c r="E797" s="3"/>
      <c r="F797" s="3"/>
      <c r="G797" s="3"/>
      <c r="H797" s="3"/>
      <c r="I797" s="3"/>
      <c r="J797" s="3"/>
      <c r="K797" s="3"/>
      <c r="L797" s="3"/>
    </row>
    <row x14ac:dyDescent="0.25" r="798" customHeight="1" ht="18.75">
      <c r="A798" s="17"/>
      <c r="B798" s="17"/>
      <c r="C798" s="3"/>
      <c r="D798" s="3"/>
      <c r="E798" s="3"/>
      <c r="F798" s="3"/>
      <c r="G798" s="3"/>
      <c r="H798" s="3"/>
      <c r="I798" s="3"/>
      <c r="J798" s="3"/>
      <c r="K798" s="3"/>
      <c r="L798" s="3"/>
    </row>
    <row x14ac:dyDescent="0.25" r="799" customHeight="1" ht="18.75">
      <c r="A799" s="17"/>
      <c r="B799" s="17"/>
      <c r="C799" s="3"/>
      <c r="D799" s="3"/>
      <c r="E799" s="3"/>
      <c r="F799" s="3"/>
      <c r="G799" s="3"/>
      <c r="H799" s="3"/>
      <c r="I799" s="3"/>
      <c r="J799" s="3"/>
      <c r="K799" s="3"/>
      <c r="L799" s="3"/>
    </row>
    <row x14ac:dyDescent="0.25" r="800" customHeight="1" ht="18.75">
      <c r="A800" s="17"/>
      <c r="B800" s="17"/>
      <c r="C800" s="3"/>
      <c r="D800" s="3"/>
      <c r="E800" s="3"/>
      <c r="F800" s="3"/>
      <c r="G800" s="3"/>
      <c r="H800" s="3"/>
      <c r="I800" s="3"/>
      <c r="J800" s="3"/>
      <c r="K800" s="3"/>
      <c r="L800" s="3"/>
    </row>
    <row x14ac:dyDescent="0.25" r="801" customHeight="1" ht="18.75">
      <c r="A801" s="17"/>
      <c r="B801" s="17"/>
      <c r="C801" s="3"/>
      <c r="D801" s="3"/>
      <c r="E801" s="3"/>
      <c r="F801" s="3"/>
      <c r="G801" s="3"/>
      <c r="H801" s="3"/>
      <c r="I801" s="3"/>
      <c r="J801" s="3"/>
      <c r="K801" s="3"/>
      <c r="L801" s="3"/>
    </row>
    <row x14ac:dyDescent="0.25" r="802" customHeight="1" ht="18.75">
      <c r="A802" s="17"/>
      <c r="B802" s="17"/>
      <c r="C802" s="3"/>
      <c r="D802" s="3"/>
      <c r="E802" s="3"/>
      <c r="F802" s="3"/>
      <c r="G802" s="3"/>
      <c r="H802" s="3"/>
      <c r="I802" s="3"/>
      <c r="J802" s="3"/>
      <c r="K802" s="3"/>
      <c r="L802" s="3"/>
    </row>
    <row x14ac:dyDescent="0.25" r="803" customHeight="1" ht="18.75">
      <c r="A803" s="17"/>
      <c r="B803" s="17"/>
      <c r="C803" s="3"/>
      <c r="D803" s="3"/>
      <c r="E803" s="3"/>
      <c r="F803" s="3"/>
      <c r="G803" s="3"/>
      <c r="H803" s="3"/>
      <c r="I803" s="3"/>
      <c r="J803" s="3"/>
      <c r="K803" s="3"/>
      <c r="L803" s="3"/>
    </row>
    <row x14ac:dyDescent="0.25" r="804" customHeight="1" ht="18.75">
      <c r="A804" s="17"/>
      <c r="B804" s="17"/>
      <c r="C804" s="3"/>
      <c r="D804" s="3"/>
      <c r="E804" s="3"/>
      <c r="F804" s="3"/>
      <c r="G804" s="3"/>
      <c r="H804" s="3"/>
      <c r="I804" s="3"/>
      <c r="J804" s="3"/>
      <c r="K804" s="3"/>
      <c r="L804" s="3"/>
    </row>
    <row x14ac:dyDescent="0.25" r="805" customHeight="1" ht="18.75">
      <c r="A805" s="17"/>
      <c r="B805" s="17"/>
      <c r="C805" s="3"/>
      <c r="D805" s="3"/>
      <c r="E805" s="3"/>
      <c r="F805" s="3"/>
      <c r="G805" s="3"/>
      <c r="H805" s="3"/>
      <c r="I805" s="3"/>
      <c r="J805" s="3"/>
      <c r="K805" s="3"/>
      <c r="L805" s="3"/>
    </row>
    <row x14ac:dyDescent="0.25" r="806" customHeight="1" ht="18.75">
      <c r="A806" s="17"/>
      <c r="B806" s="17"/>
      <c r="C806" s="3"/>
      <c r="D806" s="3"/>
      <c r="E806" s="3"/>
      <c r="F806" s="3"/>
      <c r="G806" s="3"/>
      <c r="H806" s="3"/>
      <c r="I806" s="3"/>
      <c r="J806" s="3"/>
      <c r="K806" s="3"/>
      <c r="L806" s="3"/>
    </row>
    <row x14ac:dyDescent="0.25" r="807" customHeight="1" ht="18.75">
      <c r="A807" s="17"/>
      <c r="B807" s="17"/>
      <c r="C807" s="3"/>
      <c r="D807" s="3"/>
      <c r="E807" s="3"/>
      <c r="F807" s="3"/>
      <c r="G807" s="3"/>
      <c r="H807" s="3"/>
      <c r="I807" s="3"/>
      <c r="J807" s="3"/>
      <c r="K807" s="3"/>
      <c r="L807" s="3"/>
    </row>
    <row x14ac:dyDescent="0.25" r="808" customHeight="1" ht="18.75">
      <c r="A808" s="17"/>
      <c r="B808" s="17"/>
      <c r="C808" s="3"/>
      <c r="D808" s="3"/>
      <c r="E808" s="3"/>
      <c r="F808" s="3"/>
      <c r="G808" s="3"/>
      <c r="H808" s="3"/>
      <c r="I808" s="3"/>
      <c r="J808" s="3"/>
      <c r="K808" s="3"/>
      <c r="L808" s="3"/>
    </row>
    <row x14ac:dyDescent="0.25" r="809" customHeight="1" ht="18.75">
      <c r="A809" s="17"/>
      <c r="B809" s="17"/>
      <c r="C809" s="3"/>
      <c r="D809" s="3"/>
      <c r="E809" s="3"/>
      <c r="F809" s="3"/>
      <c r="G809" s="3"/>
      <c r="H809" s="3"/>
      <c r="I809" s="3"/>
      <c r="J809" s="3"/>
      <c r="K809" s="3"/>
      <c r="L809" s="3"/>
    </row>
    <row x14ac:dyDescent="0.25" r="810" customHeight="1" ht="18.75">
      <c r="A810" s="17"/>
      <c r="B810" s="17"/>
      <c r="C810" s="3"/>
      <c r="D810" s="3"/>
      <c r="E810" s="3"/>
      <c r="F810" s="3"/>
      <c r="G810" s="3"/>
      <c r="H810" s="3"/>
      <c r="I810" s="3"/>
      <c r="J810" s="3"/>
      <c r="K810" s="3"/>
      <c r="L810" s="3"/>
    </row>
    <row x14ac:dyDescent="0.25" r="811" customHeight="1" ht="18.75">
      <c r="A811" s="17"/>
      <c r="B811" s="17"/>
      <c r="C811" s="3"/>
      <c r="D811" s="3"/>
      <c r="E811" s="3"/>
      <c r="F811" s="3"/>
      <c r="G811" s="3"/>
      <c r="H811" s="3"/>
      <c r="I811" s="3"/>
      <c r="J811" s="3"/>
      <c r="K811" s="3"/>
      <c r="L811" s="3"/>
    </row>
    <row x14ac:dyDescent="0.25" r="812" customHeight="1" ht="18.75">
      <c r="A812" s="17"/>
      <c r="B812" s="17"/>
      <c r="C812" s="3"/>
      <c r="D812" s="3"/>
      <c r="E812" s="3"/>
      <c r="F812" s="3"/>
      <c r="G812" s="3"/>
      <c r="H812" s="3"/>
      <c r="I812" s="3"/>
      <c r="J812" s="3"/>
      <c r="K812" s="3"/>
      <c r="L812" s="3"/>
    </row>
    <row x14ac:dyDescent="0.25" r="813" customHeight="1" ht="18.75">
      <c r="A813" s="17"/>
      <c r="B813" s="17"/>
      <c r="C813" s="3"/>
      <c r="D813" s="3"/>
      <c r="E813" s="3"/>
      <c r="F813" s="3"/>
      <c r="G813" s="3"/>
      <c r="H813" s="3"/>
      <c r="I813" s="3"/>
      <c r="J813" s="3"/>
      <c r="K813" s="3"/>
      <c r="L813" s="3"/>
    </row>
    <row x14ac:dyDescent="0.25" r="814" customHeight="1" ht="18.75">
      <c r="A814" s="17"/>
      <c r="B814" s="17"/>
      <c r="C814" s="3"/>
      <c r="D814" s="3"/>
      <c r="E814" s="3"/>
      <c r="F814" s="3"/>
      <c r="G814" s="3"/>
      <c r="H814" s="3"/>
      <c r="I814" s="3"/>
      <c r="J814" s="3"/>
      <c r="K814" s="3"/>
      <c r="L814" s="3"/>
    </row>
    <row x14ac:dyDescent="0.25" r="815" customHeight="1" ht="18.75">
      <c r="A815" s="17"/>
      <c r="B815" s="17"/>
      <c r="C815" s="3"/>
      <c r="D815" s="3"/>
      <c r="E815" s="3"/>
      <c r="F815" s="3"/>
      <c r="G815" s="3"/>
      <c r="H815" s="3"/>
      <c r="I815" s="3"/>
      <c r="J815" s="3"/>
      <c r="K815" s="3"/>
      <c r="L815" s="3"/>
    </row>
    <row x14ac:dyDescent="0.25" r="816" customHeight="1" ht="18.75">
      <c r="A816" s="17"/>
      <c r="B816" s="17"/>
      <c r="C816" s="3"/>
      <c r="D816" s="3"/>
      <c r="E816" s="3"/>
      <c r="F816" s="3"/>
      <c r="G816" s="3"/>
      <c r="H816" s="3"/>
      <c r="I816" s="3"/>
      <c r="J816" s="3"/>
      <c r="K816" s="3"/>
      <c r="L816" s="3"/>
    </row>
    <row x14ac:dyDescent="0.25" r="817" customHeight="1" ht="18.75">
      <c r="A817" s="17"/>
      <c r="B817" s="17"/>
      <c r="C817" s="3"/>
      <c r="D817" s="3"/>
      <c r="E817" s="3"/>
      <c r="F817" s="3"/>
      <c r="G817" s="3"/>
      <c r="H817" s="3"/>
      <c r="I817" s="3"/>
      <c r="J817" s="3"/>
      <c r="K817" s="3"/>
      <c r="L817" s="3"/>
    </row>
    <row x14ac:dyDescent="0.25" r="818" customHeight="1" ht="18.75">
      <c r="A818" s="17"/>
      <c r="B818" s="17"/>
      <c r="C818" s="3"/>
      <c r="D818" s="3"/>
      <c r="E818" s="3"/>
      <c r="F818" s="3"/>
      <c r="G818" s="3"/>
      <c r="H818" s="3"/>
      <c r="I818" s="3"/>
      <c r="J818" s="3"/>
      <c r="K818" s="3"/>
      <c r="L818" s="3"/>
    </row>
    <row x14ac:dyDescent="0.25" r="819" customHeight="1" ht="18.75">
      <c r="A819" s="17"/>
      <c r="B819" s="17"/>
      <c r="C819" s="3"/>
      <c r="D819" s="3"/>
      <c r="E819" s="3"/>
      <c r="F819" s="3"/>
      <c r="G819" s="3"/>
      <c r="H819" s="3"/>
      <c r="I819" s="3"/>
      <c r="J819" s="3"/>
      <c r="K819" s="3"/>
      <c r="L819" s="3"/>
    </row>
    <row x14ac:dyDescent="0.25" r="820" customHeight="1" ht="18.75">
      <c r="A820" s="17"/>
      <c r="B820" s="17"/>
      <c r="C820" s="3"/>
      <c r="D820" s="3"/>
      <c r="E820" s="3"/>
      <c r="F820" s="3"/>
      <c r="G820" s="3"/>
      <c r="H820" s="3"/>
      <c r="I820" s="3"/>
      <c r="J820" s="3"/>
      <c r="K820" s="3"/>
      <c r="L820" s="3"/>
    </row>
    <row x14ac:dyDescent="0.25" r="821" customHeight="1" ht="18.75">
      <c r="A821" s="17"/>
      <c r="B821" s="17"/>
      <c r="C821" s="3"/>
      <c r="D821" s="3"/>
      <c r="E821" s="3"/>
      <c r="F821" s="3"/>
      <c r="G821" s="3"/>
      <c r="H821" s="3"/>
      <c r="I821" s="3"/>
      <c r="J821" s="3"/>
      <c r="K821" s="3"/>
      <c r="L821" s="3"/>
    </row>
    <row x14ac:dyDescent="0.25" r="822" customHeight="1" ht="18.75">
      <c r="A822" s="17"/>
      <c r="B822" s="17"/>
      <c r="C822" s="3"/>
      <c r="D822" s="3"/>
      <c r="E822" s="3"/>
      <c r="F822" s="3"/>
      <c r="G822" s="3"/>
      <c r="H822" s="3"/>
      <c r="I822" s="3"/>
      <c r="J822" s="3"/>
      <c r="K822" s="3"/>
      <c r="L822" s="3"/>
    </row>
    <row x14ac:dyDescent="0.25" r="823" customHeight="1" ht="18.75">
      <c r="A823" s="17"/>
      <c r="B823" s="17"/>
      <c r="C823" s="3"/>
      <c r="D823" s="3"/>
      <c r="E823" s="3"/>
      <c r="F823" s="3"/>
      <c r="G823" s="3"/>
      <c r="H823" s="3"/>
      <c r="I823" s="3"/>
      <c r="J823" s="3"/>
      <c r="K823" s="3"/>
      <c r="L823" s="3"/>
    </row>
    <row x14ac:dyDescent="0.25" r="824" customHeight="1" ht="18.75">
      <c r="A824" s="17"/>
      <c r="B824" s="17"/>
      <c r="C824" s="3"/>
      <c r="D824" s="3"/>
      <c r="E824" s="3"/>
      <c r="F824" s="3"/>
      <c r="G824" s="3"/>
      <c r="H824" s="3"/>
      <c r="I824" s="3"/>
      <c r="J824" s="3"/>
      <c r="K824" s="3"/>
      <c r="L824" s="3"/>
    </row>
    <row x14ac:dyDescent="0.25" r="825" customHeight="1" ht="18.75">
      <c r="A825" s="17"/>
      <c r="B825" s="17"/>
      <c r="C825" s="3"/>
      <c r="D825" s="3"/>
      <c r="E825" s="3"/>
      <c r="F825" s="3"/>
      <c r="G825" s="3"/>
      <c r="H825" s="3"/>
      <c r="I825" s="3"/>
      <c r="J825" s="3"/>
      <c r="K825" s="3"/>
      <c r="L825" s="3"/>
    </row>
    <row x14ac:dyDescent="0.25" r="826" customHeight="1" ht="18.75">
      <c r="A826" s="17"/>
      <c r="B826" s="17"/>
      <c r="C826" s="3"/>
      <c r="D826" s="3"/>
      <c r="E826" s="3"/>
      <c r="F826" s="3"/>
      <c r="G826" s="3"/>
      <c r="H826" s="3"/>
      <c r="I826" s="3"/>
      <c r="J826" s="3"/>
      <c r="K826" s="3"/>
      <c r="L826" s="3"/>
    </row>
    <row x14ac:dyDescent="0.25" r="827" customHeight="1" ht="18.75">
      <c r="A827" s="17"/>
      <c r="B827" s="17"/>
      <c r="C827" s="3"/>
      <c r="D827" s="3"/>
      <c r="E827" s="3"/>
      <c r="F827" s="3"/>
      <c r="G827" s="3"/>
      <c r="H827" s="3"/>
      <c r="I827" s="3"/>
      <c r="J827" s="3"/>
      <c r="K827" s="3"/>
      <c r="L827" s="3"/>
    </row>
    <row x14ac:dyDescent="0.25" r="828" customHeight="1" ht="18.75">
      <c r="A828" s="17"/>
      <c r="B828" s="17"/>
      <c r="C828" s="3"/>
      <c r="D828" s="3"/>
      <c r="E828" s="3"/>
      <c r="F828" s="3"/>
      <c r="G828" s="3"/>
      <c r="H828" s="3"/>
      <c r="I828" s="3"/>
      <c r="J828" s="3"/>
      <c r="K828" s="3"/>
      <c r="L828" s="3"/>
    </row>
    <row x14ac:dyDescent="0.25" r="829" customHeight="1" ht="18.75">
      <c r="A829" s="17"/>
      <c r="B829" s="17"/>
      <c r="C829" s="3"/>
      <c r="D829" s="3"/>
      <c r="E829" s="3"/>
      <c r="F829" s="3"/>
      <c r="G829" s="3"/>
      <c r="H829" s="3"/>
      <c r="I829" s="3"/>
      <c r="J829" s="3"/>
      <c r="K829" s="3"/>
      <c r="L829" s="3"/>
    </row>
    <row x14ac:dyDescent="0.25" r="830" customHeight="1" ht="18.75">
      <c r="A830" s="17"/>
      <c r="B830" s="17"/>
      <c r="C830" s="3"/>
      <c r="D830" s="3"/>
      <c r="E830" s="3"/>
      <c r="F830" s="3"/>
      <c r="G830" s="3"/>
      <c r="H830" s="3"/>
      <c r="I830" s="3"/>
      <c r="J830" s="3"/>
      <c r="K830" s="3"/>
      <c r="L830" s="3"/>
    </row>
    <row x14ac:dyDescent="0.25" r="831" customHeight="1" ht="18.75">
      <c r="A831" s="17"/>
      <c r="B831" s="17"/>
      <c r="C831" s="3"/>
      <c r="D831" s="3"/>
      <c r="E831" s="3"/>
      <c r="F831" s="3"/>
      <c r="G831" s="3"/>
      <c r="H831" s="3"/>
      <c r="I831" s="3"/>
      <c r="J831" s="3"/>
      <c r="K831" s="3"/>
      <c r="L831" s="3"/>
    </row>
  </sheetData>
  <mergeCells count="1">
    <mergeCell ref="A1:J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README</vt:lpstr>
      <vt:lpstr>MP</vt:lpstr>
      <vt:lpstr>LoF</vt:lpstr>
      <vt:lpstr>RR</vt:lpstr>
      <vt:lpstr>Maintenance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2025-11-19T12:49:13.764Z</dcterms:created>
  <dcterms:modified xsi:type="dcterms:W3CDTF">2025-11-19T12:49:13.764Z</dcterms:modified>
</cp:coreProperties>
</file>